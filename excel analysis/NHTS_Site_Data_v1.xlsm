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30" windowWidth="20115" windowHeight="8010"/>
  </bookViews>
  <sheets>
    <sheet name="Sheet5" sheetId="7" r:id="rId1"/>
    <sheet name="Data - Summary" sheetId="6" r:id="rId2"/>
    <sheet name="Restraints" sheetId="9" r:id="rId3"/>
    <sheet name="Alcohol" sheetId="10" r:id="rId4"/>
    <sheet name="Injuries" sheetId="11" r:id="rId5"/>
    <sheet name="Injuries (mod)" sheetId="12" r:id="rId6"/>
    <sheet name="Sheet3" sheetId="13" r:id="rId7"/>
  </sheets>
  <externalReferences>
    <externalReference r:id="rId8"/>
  </externalReferences>
  <definedNames>
    <definedName name="\K">#REF!</definedName>
    <definedName name="\M">#REF!</definedName>
    <definedName name="\R">#REF!</definedName>
    <definedName name="BOX">#REF!</definedName>
    <definedName name="INTERNET">#REF!</definedName>
    <definedName name="_xlnm.Print_Area" localSheetId="4">Injuries!$A$2:$M$64</definedName>
    <definedName name="_xlnm.Print_Area" localSheetId="5">'Injuries (mod)'!$B$2:$N$63</definedName>
    <definedName name="SOURCE">#REF!</definedName>
    <definedName name="TERMS">#REF!</definedName>
    <definedName name="TITLE">#REF!</definedName>
  </definedNames>
  <calcPr calcId="125725"/>
  <pivotCaches>
    <pivotCache cacheId="13" r:id="rId9"/>
    <pivotCache cacheId="48" r:id="rId10"/>
  </pivotCaches>
</workbook>
</file>

<file path=xl/calcChain.xml><?xml version="1.0" encoding="utf-8"?>
<calcChain xmlns="http://schemas.openxmlformats.org/spreadsheetml/2006/main">
  <c r="D1" i="7"/>
  <c r="J6" i="12"/>
  <c r="E6"/>
  <c r="F6"/>
  <c r="G6"/>
  <c r="H6"/>
  <c r="I6"/>
  <c r="K6"/>
  <c r="L6"/>
  <c r="M6"/>
  <c r="N6"/>
  <c r="D6"/>
  <c r="B6"/>
  <c r="C6"/>
  <c r="A6"/>
  <c r="N63"/>
  <c r="M63"/>
  <c r="L63"/>
  <c r="K63"/>
  <c r="J63"/>
  <c r="I63"/>
  <c r="H63"/>
  <c r="G63"/>
  <c r="F63"/>
  <c r="E63"/>
  <c r="D63"/>
  <c r="N62"/>
  <c r="M62"/>
  <c r="L62"/>
  <c r="K62"/>
  <c r="J62"/>
  <c r="I62"/>
  <c r="H62"/>
  <c r="G62"/>
  <c r="F62"/>
  <c r="E62"/>
  <c r="D62"/>
  <c r="N61"/>
  <c r="M61"/>
  <c r="L61"/>
  <c r="K61"/>
  <c r="J61"/>
  <c r="I61"/>
  <c r="H61"/>
  <c r="G61"/>
  <c r="F61"/>
  <c r="E61"/>
  <c r="D61"/>
  <c r="N60"/>
  <c r="M60"/>
  <c r="L60"/>
  <c r="K60"/>
  <c r="J60"/>
  <c r="I60"/>
  <c r="H60"/>
  <c r="G60"/>
  <c r="F60"/>
  <c r="E60"/>
  <c r="D60"/>
  <c r="N59"/>
  <c r="M59"/>
  <c r="L59"/>
  <c r="K59"/>
  <c r="J59"/>
  <c r="I59"/>
  <c r="H59"/>
  <c r="G59"/>
  <c r="F59"/>
  <c r="E59"/>
  <c r="D59"/>
  <c r="N58"/>
  <c r="M58"/>
  <c r="L58"/>
  <c r="K58"/>
  <c r="J58"/>
  <c r="I58"/>
  <c r="H58"/>
  <c r="G58"/>
  <c r="F58"/>
  <c r="E58"/>
  <c r="D58"/>
  <c r="N57"/>
  <c r="M57"/>
  <c r="L57"/>
  <c r="K57"/>
  <c r="J57"/>
  <c r="I57"/>
  <c r="H57"/>
  <c r="G57"/>
  <c r="F57"/>
  <c r="E57"/>
  <c r="D57"/>
  <c r="N56"/>
  <c r="M56"/>
  <c r="L56"/>
  <c r="K56"/>
  <c r="J56"/>
  <c r="I56"/>
  <c r="H56"/>
  <c r="G56"/>
  <c r="F56"/>
  <c r="E56"/>
  <c r="D56"/>
  <c r="N55"/>
  <c r="M55"/>
  <c r="L55"/>
  <c r="K55"/>
  <c r="J55"/>
  <c r="I55"/>
  <c r="H55"/>
  <c r="G55"/>
  <c r="F55"/>
  <c r="E55"/>
  <c r="D55"/>
  <c r="N54"/>
  <c r="M54"/>
  <c r="L54"/>
  <c r="K54"/>
  <c r="J54"/>
  <c r="I54"/>
  <c r="H54"/>
  <c r="G54"/>
  <c r="F54"/>
  <c r="E54"/>
  <c r="D54"/>
  <c r="N53"/>
  <c r="M53"/>
  <c r="L53"/>
  <c r="K53"/>
  <c r="J53"/>
  <c r="I53"/>
  <c r="H53"/>
  <c r="G53"/>
  <c r="F53"/>
  <c r="E53"/>
  <c r="D53"/>
  <c r="N52"/>
  <c r="M52"/>
  <c r="L52"/>
  <c r="K52"/>
  <c r="J52"/>
  <c r="I52"/>
  <c r="H52"/>
  <c r="G52"/>
  <c r="F52"/>
  <c r="E52"/>
  <c r="D52"/>
  <c r="N51"/>
  <c r="M51"/>
  <c r="L51"/>
  <c r="K51"/>
  <c r="J51"/>
  <c r="I51"/>
  <c r="H51"/>
  <c r="G51"/>
  <c r="F51"/>
  <c r="E51"/>
  <c r="D51"/>
  <c r="N50"/>
  <c r="M50"/>
  <c r="L50"/>
  <c r="K50"/>
  <c r="J50"/>
  <c r="I50"/>
  <c r="H50"/>
  <c r="G50"/>
  <c r="F50"/>
  <c r="E50"/>
  <c r="D50"/>
  <c r="N49"/>
  <c r="M49"/>
  <c r="L49"/>
  <c r="K49"/>
  <c r="J49"/>
  <c r="I49"/>
  <c r="H49"/>
  <c r="G49"/>
  <c r="F49"/>
  <c r="E49"/>
  <c r="D49"/>
  <c r="N48"/>
  <c r="M48"/>
  <c r="L48"/>
  <c r="K48"/>
  <c r="J48"/>
  <c r="I48"/>
  <c r="H48"/>
  <c r="G48"/>
  <c r="F48"/>
  <c r="E48"/>
  <c r="D48"/>
  <c r="N47"/>
  <c r="M47"/>
  <c r="L47"/>
  <c r="K47"/>
  <c r="J47"/>
  <c r="I47"/>
  <c r="H47"/>
  <c r="G47"/>
  <c r="F47"/>
  <c r="E47"/>
  <c r="D47"/>
  <c r="N46"/>
  <c r="M46"/>
  <c r="L46"/>
  <c r="K46"/>
  <c r="J46"/>
  <c r="I46"/>
  <c r="H46"/>
  <c r="G46"/>
  <c r="F46"/>
  <c r="E46"/>
  <c r="D46"/>
  <c r="N45"/>
  <c r="M45"/>
  <c r="L45"/>
  <c r="K45"/>
  <c r="J45"/>
  <c r="I45"/>
  <c r="H45"/>
  <c r="G45"/>
  <c r="F45"/>
  <c r="E45"/>
  <c r="D45"/>
  <c r="N44"/>
  <c r="M44"/>
  <c r="L44"/>
  <c r="K44"/>
  <c r="J44"/>
  <c r="I44"/>
  <c r="H44"/>
  <c r="G44"/>
  <c r="F44"/>
  <c r="E44"/>
  <c r="D44"/>
  <c r="N43"/>
  <c r="M43"/>
  <c r="L43"/>
  <c r="K43"/>
  <c r="J43"/>
  <c r="I43"/>
  <c r="H43"/>
  <c r="G43"/>
  <c r="F43"/>
  <c r="E43"/>
  <c r="D43"/>
  <c r="N42"/>
  <c r="M42"/>
  <c r="L42"/>
  <c r="K42"/>
  <c r="J42"/>
  <c r="I42"/>
  <c r="H42"/>
  <c r="G42"/>
  <c r="F42"/>
  <c r="E42"/>
  <c r="D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42"/>
  <c r="O5" i="10"/>
  <c r="O6"/>
  <c r="O7"/>
  <c r="O8"/>
  <c r="O9"/>
  <c r="O10"/>
  <c r="O11"/>
  <c r="O12"/>
  <c r="O13"/>
  <c r="O14"/>
  <c r="O15"/>
  <c r="O16"/>
  <c r="O17"/>
  <c r="O18"/>
  <c r="O19"/>
  <c r="O20"/>
  <c r="O21"/>
  <c r="O22"/>
  <c r="O4"/>
  <c r="J5"/>
  <c r="K5"/>
  <c r="L5"/>
  <c r="M5"/>
  <c r="J6"/>
  <c r="K6"/>
  <c r="L6"/>
  <c r="M6"/>
  <c r="J7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K4"/>
  <c r="L4"/>
  <c r="M4"/>
  <c r="J4"/>
  <c r="H4" i="9"/>
  <c r="I4"/>
  <c r="J4"/>
  <c r="H5"/>
  <c r="I5"/>
  <c r="J5"/>
  <c r="H6"/>
  <c r="I6"/>
  <c r="J6"/>
  <c r="H7"/>
  <c r="I7"/>
  <c r="J7"/>
  <c r="H8"/>
  <c r="I8"/>
  <c r="J8"/>
  <c r="H9"/>
  <c r="I9"/>
  <c r="J9"/>
  <c r="H10"/>
  <c r="I10"/>
  <c r="J10"/>
  <c r="H11"/>
  <c r="I11"/>
  <c r="J11"/>
  <c r="H12"/>
  <c r="I12"/>
  <c r="J12"/>
  <c r="H13"/>
  <c r="I13"/>
  <c r="J13"/>
  <c r="H14"/>
  <c r="I14"/>
  <c r="J14"/>
  <c r="H15"/>
  <c r="I15"/>
  <c r="J15"/>
  <c r="H16"/>
  <c r="I16"/>
  <c r="J16"/>
  <c r="H17"/>
  <c r="I17"/>
  <c r="J17"/>
  <c r="H18"/>
  <c r="I18"/>
  <c r="J18"/>
  <c r="H19"/>
  <c r="I19"/>
  <c r="J19"/>
  <c r="H20"/>
  <c r="I20"/>
  <c r="J20"/>
  <c r="H21"/>
  <c r="I21"/>
  <c r="J21"/>
  <c r="I3"/>
  <c r="J3"/>
  <c r="H3"/>
</calcChain>
</file>

<file path=xl/sharedStrings.xml><?xml version="1.0" encoding="utf-8"?>
<sst xmlns="http://schemas.openxmlformats.org/spreadsheetml/2006/main" count="223" uniqueCount="112">
  <si>
    <t>Grand Total</t>
  </si>
  <si>
    <t>Total</t>
  </si>
  <si>
    <t>Fatal Crashes</t>
  </si>
  <si>
    <t>Drivers</t>
  </si>
  <si>
    <t>Vehicle Miles Traveled (Billions)</t>
  </si>
  <si>
    <t>Resident Population (Thousands)</t>
  </si>
  <si>
    <t>Registered Vehicles (Thousands)</t>
  </si>
  <si>
    <t>Licensed Drivers (Thousands)</t>
  </si>
  <si>
    <t>Nonmotorist - Pedestrians</t>
  </si>
  <si>
    <t>Nonmotorist - Pedalcyclists</t>
  </si>
  <si>
    <t>Nonmotorist - Other/ Unknown</t>
  </si>
  <si>
    <t>Year</t>
  </si>
  <si>
    <t>Motorist - Drivers</t>
  </si>
  <si>
    <t>Motorist - Passengers</t>
  </si>
  <si>
    <t>Motorist - Unknown</t>
  </si>
  <si>
    <t xml:space="preserve">Year </t>
  </si>
  <si>
    <t>Restraint Used - Occupants</t>
  </si>
  <si>
    <t>Restraint Not Used - Occupants</t>
  </si>
  <si>
    <t>Restraint Use Unknown - Occupants</t>
  </si>
  <si>
    <t>Restraint Used - Killed</t>
  </si>
  <si>
    <t>Restraint Not Used - Killed</t>
  </si>
  <si>
    <t>Restraint Use Unknown - Killed</t>
  </si>
  <si>
    <t>Restraint Used - % Killed</t>
  </si>
  <si>
    <t>Restraint Not Used - % Killed</t>
  </si>
  <si>
    <t>Restraint Use Unknown - % Killed</t>
  </si>
  <si>
    <t>Drivers in Fatal Crashes by Blood Alcohol Concentration (BAC) and Sex, 1994 - 2012 - State : USA</t>
  </si>
  <si>
    <t>Male Drivers</t>
  </si>
  <si>
    <t xml:space="preserve">Male Drivers - BAC=.08+ </t>
  </si>
  <si>
    <t xml:space="preserve">Male Drivers - BAC=.01-.07 </t>
  </si>
  <si>
    <t xml:space="preserve">Male Drivers - BAC=&lt;.01 </t>
  </si>
  <si>
    <t xml:space="preserve">Female Drivers - BAC=&lt;.01 </t>
  </si>
  <si>
    <t xml:space="preserve">Female Drivers - BAC=.01-.07 </t>
  </si>
  <si>
    <t xml:space="preserve">Female Drivers - BAC=.08+ </t>
  </si>
  <si>
    <t>Female Drivers</t>
  </si>
  <si>
    <t xml:space="preserve">Drivers - BAC=&lt;.01 </t>
  </si>
  <si>
    <t xml:space="preserve">Drivers - BAC=.01-.07 </t>
  </si>
  <si>
    <t xml:space="preserve">Drivers - BAC=.08+ </t>
  </si>
  <si>
    <t>Persons Killed</t>
  </si>
  <si>
    <t xml:space="preserve">Fatalities - BAC=&lt;.01 </t>
  </si>
  <si>
    <t xml:space="preserve">Fatalities - BAC=.01-.07 </t>
  </si>
  <si>
    <t xml:space="preserve">Fatalities - BAC=.08+ </t>
  </si>
  <si>
    <t>Table with row headers in column A and column headers in rows 4 and 5.</t>
  </si>
  <si>
    <r>
      <t>Table 1106.</t>
    </r>
    <r>
      <rPr>
        <b/>
        <sz val="12"/>
        <rFont val="Courier New"/>
        <family val="3"/>
      </rPr>
      <t xml:space="preserve"> Motor Vehicle Occupants and Nonoccupants Killed and Injured</t>
    </r>
  </si>
  <si>
    <r>
      <t>[</t>
    </r>
    <r>
      <rPr>
        <b/>
        <sz val="12"/>
        <rFont val="Courier New"/>
        <family val="3"/>
      </rPr>
      <t>For deaths within 30 days of the accident (In thousands,3,231 represents 3,231,000 except where noted</t>
    </r>
    <r>
      <rPr>
        <sz val="12"/>
        <rFont val="Courier New"/>
        <family val="3"/>
      </rPr>
      <t>)]</t>
    </r>
  </si>
  <si>
    <t>Occupants</t>
  </si>
  <si>
    <t>Motorcycle riders \2</t>
  </si>
  <si>
    <t>Nonoccupants</t>
  </si>
  <si>
    <t>Passenger cars</t>
  </si>
  <si>
    <t>Light trucks \1</t>
  </si>
  <si>
    <t>Large trucks \1</t>
  </si>
  <si>
    <t>Buses</t>
  </si>
  <si>
    <t>Other/ unknown \3</t>
  </si>
  <si>
    <t>Pedestrian</t>
  </si>
  <si>
    <t>Pedal-cyclist</t>
  </si>
  <si>
    <t>KILLED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</si>
  <si>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</si>
  <si>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</si>
  <si>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</si>
  <si>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</si>
  <si>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</si>
  <si>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</si>
  <si>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</si>
  <si>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</si>
  <si>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</si>
  <si>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</si>
  <si>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</si>
  <si>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 \4</t>
  </si>
  <si>
    <t>1997</t>
  </si>
  <si>
    <t>1998</t>
  </si>
  <si>
    <t>1999</t>
  </si>
  <si>
    <t>2000</t>
  </si>
  <si>
    <t>2002</t>
  </si>
  <si>
    <t>INJURED (1,000)</t>
  </si>
  <si>
    <t>1996</t>
  </si>
  <si>
    <t>FOOTNOTES:</t>
  </si>
  <si>
    <t>\1 See footnotes 2 and 3 in Table 1106.</t>
  </si>
  <si>
    <t>\2 Includes combination trucks.</t>
  </si>
  <si>
    <t>\3 Includes motorized cycles.</t>
  </si>
  <si>
    <t>\4 Total includes two fatalities of unknown person type, not specified in distribution.</t>
  </si>
  <si>
    <t>Source: U.S. National Highway Traffic Safety Administration, Traffic Safety Facts, annual, and unpublished data.</t>
  </si>
  <si>
    <t>For more information:</t>
  </si>
  <si>
    <t>http://www.nhtsa.dot.gov/portal/site/nhtsa/menuitem.a0bd5d5a23d09ec24ec86e10dba046a0/</t>
  </si>
  <si>
    <t>http://www-nrd.nhtsa.dot.gov/CATS/index.aspx</t>
  </si>
  <si>
    <t>Internet release date: 09/30/2011</t>
  </si>
  <si>
    <t>Killed</t>
  </si>
  <si>
    <t>Injured</t>
  </si>
  <si>
    <t>Type</t>
  </si>
  <si>
    <t>Motorcycle riders \3</t>
  </si>
  <si>
    <t>Sum of Occupants - Total</t>
  </si>
  <si>
    <t>Fatalities -Light Trucks</t>
  </si>
  <si>
    <t>Fatalities -Large Trucks</t>
  </si>
  <si>
    <t>Fatalities -Buses</t>
  </si>
  <si>
    <t>Fatalities -Other/ Unknown</t>
  </si>
  <si>
    <t>Fatalities -Motorcycles</t>
  </si>
  <si>
    <t>Fatalities -Pedestrian</t>
  </si>
  <si>
    <t>Fatalities -Pedalcyclist</t>
  </si>
  <si>
    <t>Fatalities -Other</t>
  </si>
  <si>
    <t>Number of Passenger Cars involving Fatalities</t>
  </si>
  <si>
    <t>Number of Light Trucks involving Fatalities</t>
  </si>
  <si>
    <t>Number of Large Trucks involving Fatalities</t>
  </si>
  <si>
    <t>Number of Motorcycles involving Fatalities</t>
  </si>
  <si>
    <t>Fatalities - Passenger Cars</t>
  </si>
  <si>
    <t>Rollover No - Passenger Cars</t>
  </si>
  <si>
    <t>Rollover No - Light Trucks - Pickup</t>
  </si>
  <si>
    <t>Rollover No - Light Trucks - Utility</t>
  </si>
  <si>
    <t>Rollover No - Light Trucks - Van</t>
  </si>
  <si>
    <t>Rollover No - Light Trucks - Other</t>
  </si>
  <si>
    <t>Fatalities - Light Trucks - Pickup</t>
  </si>
  <si>
    <t>Fatalities - Light Trucks - Utility</t>
  </si>
  <si>
    <t>Fatalities - Light Trucks - Van</t>
  </si>
  <si>
    <t>Fatalities - Light Trucks - Other</t>
  </si>
  <si>
    <t>Sum of Rollover Fatality Rates - Light Trucks Pickup</t>
  </si>
</sst>
</file>

<file path=xl/styles.xml><?xml version="1.0" encoding="utf-8"?>
<styleSheet xmlns="http://schemas.openxmlformats.org/spreadsheetml/2006/main">
  <numFmts count="1">
    <numFmt numFmtId="164" formatCode="#,##0;[Red]#,##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ourier New"/>
    </font>
    <font>
      <sz val="12"/>
      <color rgb="FFFFFFFF"/>
      <name val="Courier New"/>
      <family val="3"/>
    </font>
    <font>
      <sz val="12"/>
      <name val="Courier New"/>
      <family val="3"/>
    </font>
    <font>
      <b/>
      <sz val="12"/>
      <name val="Courier New"/>
      <family val="3"/>
    </font>
    <font>
      <u/>
      <sz val="10.45"/>
      <color indexed="12"/>
      <name val="Courier New"/>
      <family val="3"/>
    </font>
    <font>
      <sz val="12"/>
      <color indexed="12"/>
      <name val="Courier New"/>
      <family val="3"/>
    </font>
    <font>
      <u/>
      <sz val="12"/>
      <color indexed="12"/>
      <name val="Courier New"/>
      <family val="3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2" fillId="0" borderId="0" applyNumberFormat="0" applyFill="0" applyBorder="0" applyAlignment="0" applyProtection="0">
      <alignment vertical="top"/>
      <protection locked="0"/>
    </xf>
  </cellStyleXfs>
  <cellXfs count="87">
    <xf numFmtId="0" fontId="0" fillId="0" borderId="0" xfId="0"/>
    <xf numFmtId="0" fontId="0" fillId="0" borderId="0" xfId="0" pivotButton="1"/>
    <xf numFmtId="3" fontId="0" fillId="0" borderId="0" xfId="0" applyNumberFormat="1"/>
    <xf numFmtId="0" fontId="0" fillId="33" borderId="0" xfId="0" applyFill="1"/>
    <xf numFmtId="3" fontId="0" fillId="34" borderId="0" xfId="0" applyNumberFormat="1" applyFill="1"/>
    <xf numFmtId="9" fontId="0" fillId="34" borderId="0" xfId="1" applyFont="1" applyFill="1"/>
    <xf numFmtId="0" fontId="0" fillId="0" borderId="0" xfId="0" applyAlignment="1">
      <alignment wrapText="1"/>
    </xf>
    <xf numFmtId="0" fontId="0" fillId="34" borderId="0" xfId="0" applyFill="1" applyAlignment="1">
      <alignment wrapText="1"/>
    </xf>
    <xf numFmtId="0" fontId="0" fillId="0" borderId="0" xfId="0" applyFill="1" applyAlignment="1">
      <alignment wrapText="1"/>
    </xf>
    <xf numFmtId="0" fontId="19" fillId="0" borderId="0" xfId="43" applyFont="1" applyAlignment="1"/>
    <xf numFmtId="0" fontId="18" fillId="0" borderId="0" xfId="43" applyAlignment="1"/>
    <xf numFmtId="0" fontId="20" fillId="0" borderId="0" xfId="43" applyNumberFormat="1" applyFont="1" applyAlignment="1">
      <alignment horizontal="left" wrapText="1"/>
    </xf>
    <xf numFmtId="0" fontId="20" fillId="0" borderId="10" xfId="43" applyNumberFormat="1" applyFont="1" applyBorder="1" applyAlignment="1">
      <alignment horizontal="left" wrapText="1"/>
    </xf>
    <xf numFmtId="0" fontId="20" fillId="0" borderId="11" xfId="43" applyNumberFormat="1" applyFont="1" applyBorder="1" applyAlignment="1">
      <alignment horizontal="center" vertical="center"/>
    </xf>
    <xf numFmtId="0" fontId="20" fillId="0" borderId="12" xfId="43" applyNumberFormat="1" applyFont="1" applyBorder="1" applyAlignment="1">
      <alignment horizontal="right"/>
    </xf>
    <xf numFmtId="0" fontId="20" fillId="0" borderId="13" xfId="43" applyNumberFormat="1" applyFont="1" applyBorder="1" applyAlignment="1">
      <alignment horizontal="center" wrapText="1"/>
    </xf>
    <xf numFmtId="0" fontId="20" fillId="0" borderId="14" xfId="43" applyNumberFormat="1" applyFont="1" applyBorder="1" applyAlignment="1">
      <alignment horizontal="center" wrapText="1"/>
    </xf>
    <xf numFmtId="0" fontId="20" fillId="0" borderId="15" xfId="43" applyNumberFormat="1" applyFont="1" applyBorder="1" applyAlignment="1">
      <alignment horizontal="center" wrapText="1"/>
    </xf>
    <xf numFmtId="0" fontId="18" fillId="0" borderId="16" xfId="43" applyNumberFormat="1" applyBorder="1" applyAlignment="1">
      <alignment horizontal="right" wrapText="1"/>
    </xf>
    <xf numFmtId="0" fontId="20" fillId="0" borderId="12" xfId="43" applyNumberFormat="1" applyFont="1" applyBorder="1" applyAlignment="1">
      <alignment horizontal="center" wrapText="1"/>
    </xf>
    <xf numFmtId="0" fontId="20" fillId="0" borderId="11" xfId="43" applyNumberFormat="1" applyFont="1" applyBorder="1" applyAlignment="1">
      <alignment horizontal="center" wrapText="1"/>
    </xf>
    <xf numFmtId="0" fontId="20" fillId="0" borderId="10" xfId="43" applyNumberFormat="1" applyFont="1" applyBorder="1" applyAlignment="1">
      <alignment horizontal="center" vertical="center"/>
    </xf>
    <xf numFmtId="0" fontId="20" fillId="0" borderId="17" xfId="43" applyNumberFormat="1" applyFont="1" applyBorder="1" applyAlignment="1">
      <alignment horizontal="right"/>
    </xf>
    <xf numFmtId="0" fontId="20" fillId="0" borderId="13" xfId="43" applyNumberFormat="1" applyFont="1" applyBorder="1" applyAlignment="1">
      <alignment horizontal="right"/>
    </xf>
    <xf numFmtId="0" fontId="18" fillId="0" borderId="14" xfId="43" applyNumberFormat="1" applyBorder="1" applyAlignment="1">
      <alignment horizontal="right" wrapText="1"/>
    </xf>
    <xf numFmtId="0" fontId="23" fillId="0" borderId="14" xfId="44" applyNumberFormat="1" applyFont="1" applyBorder="1" applyAlignment="1" applyProtection="1">
      <alignment horizontal="right" wrapText="1"/>
    </xf>
    <xf numFmtId="0" fontId="20" fillId="0" borderId="14" xfId="43" applyNumberFormat="1" applyFont="1" applyBorder="1" applyAlignment="1">
      <alignment horizontal="right"/>
    </xf>
    <xf numFmtId="0" fontId="23" fillId="0" borderId="15" xfId="44" applyNumberFormat="1" applyFont="1" applyBorder="1" applyAlignment="1" applyProtection="1">
      <alignment horizontal="right" wrapText="1"/>
    </xf>
    <xf numFmtId="0" fontId="18" fillId="0" borderId="18" xfId="43" applyNumberFormat="1" applyBorder="1" applyAlignment="1">
      <alignment horizontal="right" wrapText="1"/>
    </xf>
    <xf numFmtId="0" fontId="20" fillId="0" borderId="13" xfId="43" applyNumberFormat="1" applyFont="1" applyBorder="1" applyAlignment="1">
      <alignment horizontal="right" wrapText="1"/>
    </xf>
    <xf numFmtId="0" fontId="20" fillId="0" borderId="14" xfId="43" applyNumberFormat="1" applyFont="1" applyBorder="1" applyAlignment="1">
      <alignment horizontal="right" wrapText="1"/>
    </xf>
    <xf numFmtId="0" fontId="20" fillId="0" borderId="0" xfId="43" applyNumberFormat="1" applyFont="1" applyAlignment="1">
      <alignment horizontal="center"/>
    </xf>
    <xf numFmtId="0" fontId="18" fillId="0" borderId="19" xfId="43" applyBorder="1" applyAlignment="1"/>
    <xf numFmtId="0" fontId="18" fillId="0" borderId="20" xfId="43" applyBorder="1" applyAlignment="1"/>
    <xf numFmtId="0" fontId="18" fillId="0" borderId="0" xfId="43" applyAlignment="1">
      <alignment horizontal="left"/>
    </xf>
    <xf numFmtId="3" fontId="18" fillId="0" borderId="19" xfId="43" applyNumberFormat="1" applyBorder="1" applyAlignment="1"/>
    <xf numFmtId="3" fontId="18" fillId="0" borderId="0" xfId="43" applyNumberFormat="1" applyAlignment="1"/>
    <xf numFmtId="3" fontId="18" fillId="0" borderId="20" xfId="43" applyNumberFormat="1" applyBorder="1" applyAlignment="1"/>
    <xf numFmtId="0" fontId="20" fillId="0" borderId="0" xfId="43" applyNumberFormat="1" applyFont="1" applyAlignment="1"/>
    <xf numFmtId="3" fontId="18" fillId="0" borderId="19" xfId="43" applyNumberFormat="1" applyBorder="1"/>
    <xf numFmtId="3" fontId="18" fillId="0" borderId="0" xfId="43" applyNumberFormat="1"/>
    <xf numFmtId="3" fontId="18" fillId="0" borderId="20" xfId="43" applyNumberFormat="1" applyBorder="1"/>
    <xf numFmtId="0" fontId="18" fillId="0" borderId="0" xfId="43" applyNumberFormat="1"/>
    <xf numFmtId="0" fontId="23" fillId="0" borderId="0" xfId="44" applyNumberFormat="1" applyFont="1" applyAlignment="1" applyProtection="1"/>
    <xf numFmtId="0" fontId="20" fillId="0" borderId="0" xfId="43" applyNumberFormat="1" applyFont="1" applyAlignment="1">
      <alignment horizontal="left"/>
    </xf>
    <xf numFmtId="3" fontId="18" fillId="0" borderId="19" xfId="43" applyNumberFormat="1" applyBorder="1" applyAlignment="1">
      <alignment horizontal="right" wrapText="1"/>
    </xf>
    <xf numFmtId="3" fontId="18" fillId="0" borderId="0" xfId="43" applyNumberFormat="1" applyBorder="1" applyAlignment="1">
      <alignment horizontal="right" wrapText="1"/>
    </xf>
    <xf numFmtId="0" fontId="18" fillId="0" borderId="0" xfId="43" applyBorder="1" applyAlignment="1">
      <alignment horizontal="right" wrapText="1"/>
    </xf>
    <xf numFmtId="3" fontId="18" fillId="0" borderId="20" xfId="43" applyNumberFormat="1" applyBorder="1" applyAlignment="1">
      <alignment horizontal="right" wrapText="1"/>
    </xf>
    <xf numFmtId="0" fontId="18" fillId="0" borderId="0" xfId="43" applyFill="1" applyBorder="1" applyAlignment="1">
      <alignment horizontal="right" wrapText="1"/>
    </xf>
    <xf numFmtId="0" fontId="18" fillId="0" borderId="20" xfId="43" applyNumberFormat="1" applyBorder="1"/>
    <xf numFmtId="0" fontId="18" fillId="0" borderId="19" xfId="43" applyNumberFormat="1" applyBorder="1"/>
    <xf numFmtId="0" fontId="18" fillId="0" borderId="20" xfId="43" applyBorder="1" applyAlignment="1">
      <alignment horizontal="right" wrapText="1"/>
    </xf>
    <xf numFmtId="0" fontId="18" fillId="0" borderId="19" xfId="43" applyBorder="1" applyAlignment="1">
      <alignment horizontal="right" wrapText="1"/>
    </xf>
    <xf numFmtId="0" fontId="20" fillId="0" borderId="0" xfId="43" applyNumberFormat="1" applyFont="1" applyBorder="1" applyAlignment="1">
      <alignment horizontal="left"/>
    </xf>
    <xf numFmtId="3" fontId="20" fillId="0" borderId="19" xfId="43" applyNumberFormat="1" applyFont="1" applyBorder="1" applyAlignment="1">
      <alignment horizontal="right"/>
    </xf>
    <xf numFmtId="3" fontId="20" fillId="0" borderId="0" xfId="43" applyNumberFormat="1" applyFont="1" applyBorder="1" applyAlignment="1">
      <alignment horizontal="right"/>
    </xf>
    <xf numFmtId="0" fontId="20" fillId="0" borderId="0" xfId="43" applyNumberFormat="1" applyFont="1" applyBorder="1" applyAlignment="1">
      <alignment horizontal="right"/>
    </xf>
    <xf numFmtId="0" fontId="20" fillId="0" borderId="20" xfId="43" applyNumberFormat="1" applyFont="1" applyBorder="1" applyAlignment="1">
      <alignment horizontal="right"/>
    </xf>
    <xf numFmtId="0" fontId="20" fillId="0" borderId="19" xfId="43" applyNumberFormat="1" applyFont="1" applyBorder="1" applyAlignment="1">
      <alignment horizontal="right"/>
    </xf>
    <xf numFmtId="164" fontId="20" fillId="0" borderId="20" xfId="43" applyNumberFormat="1" applyFont="1" applyBorder="1" applyAlignment="1"/>
    <xf numFmtId="0" fontId="20" fillId="0" borderId="21" xfId="43" applyNumberFormat="1" applyFont="1" applyBorder="1" applyAlignment="1">
      <alignment horizontal="left"/>
    </xf>
    <xf numFmtId="3" fontId="18" fillId="0" borderId="21" xfId="43" applyNumberFormat="1" applyBorder="1"/>
    <xf numFmtId="3" fontId="18" fillId="0" borderId="0" xfId="43" applyNumberFormat="1" applyBorder="1" applyAlignment="1"/>
    <xf numFmtId="3" fontId="18" fillId="0" borderId="21" xfId="43" applyNumberFormat="1" applyBorder="1" applyAlignment="1"/>
    <xf numFmtId="3" fontId="18" fillId="0" borderId="19" xfId="43" applyNumberFormat="1" applyFill="1" applyBorder="1" applyAlignment="1">
      <alignment horizontal="right" wrapText="1"/>
    </xf>
    <xf numFmtId="3" fontId="18" fillId="0" borderId="0" xfId="43" applyNumberFormat="1" applyFill="1" applyBorder="1" applyAlignment="1">
      <alignment horizontal="right" wrapText="1"/>
    </xf>
    <xf numFmtId="3" fontId="18" fillId="0" borderId="0" xfId="43" applyNumberFormat="1" applyBorder="1"/>
    <xf numFmtId="0" fontId="20" fillId="0" borderId="22" xfId="43" applyNumberFormat="1" applyFont="1" applyBorder="1" applyAlignment="1">
      <alignment horizontal="left"/>
    </xf>
    <xf numFmtId="3" fontId="18" fillId="0" borderId="22" xfId="43" applyNumberFormat="1" applyBorder="1"/>
    <xf numFmtId="3" fontId="18" fillId="0" borderId="10" xfId="43" applyNumberFormat="1" applyBorder="1" applyAlignment="1"/>
    <xf numFmtId="3" fontId="18" fillId="0" borderId="22" xfId="43" applyNumberFormat="1" applyBorder="1" applyAlignment="1"/>
    <xf numFmtId="3" fontId="18" fillId="0" borderId="18" xfId="43" applyNumberFormat="1" applyBorder="1" applyAlignment="1"/>
    <xf numFmtId="3" fontId="18" fillId="0" borderId="10" xfId="43" applyNumberFormat="1" applyBorder="1"/>
    <xf numFmtId="0" fontId="18" fillId="0" borderId="0" xfId="43" applyNumberFormat="1" applyAlignment="1">
      <alignment horizontal="left" wrapText="1"/>
    </xf>
    <xf numFmtId="0" fontId="24" fillId="0" borderId="0" xfId="44" applyNumberFormat="1" applyFont="1" applyAlignment="1" applyProtection="1"/>
    <xf numFmtId="0" fontId="20" fillId="0" borderId="0" xfId="43" applyFont="1" applyAlignment="1"/>
    <xf numFmtId="0" fontId="18" fillId="34" borderId="0" xfId="43" applyFill="1" applyAlignment="1"/>
    <xf numFmtId="0" fontId="20" fillId="0" borderId="23" xfId="43" applyNumberFormat="1" applyFont="1" applyBorder="1" applyAlignment="1">
      <alignment vertical="center"/>
    </xf>
    <xf numFmtId="0" fontId="20" fillId="0" borderId="16" xfId="43" applyNumberFormat="1" applyFont="1" applyBorder="1" applyAlignment="1"/>
    <xf numFmtId="0" fontId="20" fillId="0" borderId="13" xfId="43" applyNumberFormat="1" applyFont="1" applyBorder="1" applyAlignment="1">
      <alignment wrapText="1"/>
    </xf>
    <xf numFmtId="0" fontId="18" fillId="0" borderId="16" xfId="43" applyNumberFormat="1" applyBorder="1" applyAlignment="1">
      <alignment wrapText="1"/>
    </xf>
    <xf numFmtId="0" fontId="18" fillId="34" borderId="0" xfId="43" applyFill="1" applyAlignment="1">
      <alignment wrapText="1"/>
    </xf>
    <xf numFmtId="0" fontId="16" fillId="0" borderId="0" xfId="0" applyFont="1" applyAlignment="1">
      <alignment horizontal="center" vertical="center" wrapText="1"/>
    </xf>
    <xf numFmtId="3" fontId="0" fillId="0" borderId="0" xfId="0" applyNumberFormat="1" applyAlignment="1">
      <alignment wrapText="1"/>
    </xf>
    <xf numFmtId="3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4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[NHTS_Site_Data_v1.xlsm]Sheet5!PivotTable1</c:name>
    <c:fmtId val="18"/>
  </c:pivotSource>
  <c:chart>
    <c:title>
      <c:tx>
        <c:strRef>
          <c:f>Sheet5!$D$1</c:f>
          <c:strCache>
            <c:ptCount val="1"/>
            <c:pt idx="0">
              <c:v>Rollover Fatality Rates - Light Trucks Pickup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lineChart>
        <c:grouping val="standard"/>
        <c:ser>
          <c:idx val="0"/>
          <c:order val="0"/>
          <c:tx>
            <c:strRef>
              <c:f>Sheet5!$D$1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Sheet5!$D$1</c:f>
              <c:strCach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strCache>
            </c:strRef>
          </c:cat>
          <c:val>
            <c:numRef>
              <c:f>Sheet5!$D$1</c:f>
              <c:numCache>
                <c:formatCode>#,##0</c:formatCode>
                <c:ptCount val="19"/>
                <c:pt idx="0">
                  <c:v>0.43218514531754576</c:v>
                </c:pt>
                <c:pt idx="1">
                  <c:v>0.43297406534186594</c:v>
                </c:pt>
                <c:pt idx="2">
                  <c:v>0.43106368563685638</c:v>
                </c:pt>
                <c:pt idx="3">
                  <c:v>0.42109733310684561</c:v>
                </c:pt>
                <c:pt idx="4">
                  <c:v>0.43235939875021112</c:v>
                </c:pt>
                <c:pt idx="5">
                  <c:v>0.44458952178880368</c:v>
                </c:pt>
                <c:pt idx="6">
                  <c:v>0.42612027319673496</c:v>
                </c:pt>
                <c:pt idx="7">
                  <c:v>0.4318292881576804</c:v>
                </c:pt>
                <c:pt idx="8">
                  <c:v>0.45163934426229507</c:v>
                </c:pt>
                <c:pt idx="9">
                  <c:v>0.43310391136478094</c:v>
                </c:pt>
                <c:pt idx="10">
                  <c:v>0.44484412470023982</c:v>
                </c:pt>
                <c:pt idx="11">
                  <c:v>0.46085379924179992</c:v>
                </c:pt>
                <c:pt idx="12">
                  <c:v>0.4745536459202403</c:v>
                </c:pt>
                <c:pt idx="13">
                  <c:v>0.46998460749102106</c:v>
                </c:pt>
                <c:pt idx="14">
                  <c:v>0.47773199921522463</c:v>
                </c:pt>
                <c:pt idx="15">
                  <c:v>0.47802541137263072</c:v>
                </c:pt>
                <c:pt idx="16">
                  <c:v>0.46767721801159162</c:v>
                </c:pt>
                <c:pt idx="17">
                  <c:v>0.46674473067915689</c:v>
                </c:pt>
                <c:pt idx="18">
                  <c:v>0.46260387811634351</c:v>
                </c:pt>
              </c:numCache>
            </c:numRef>
          </c:val>
        </c:ser>
        <c:marker val="1"/>
        <c:axId val="274489344"/>
        <c:axId val="274492416"/>
      </c:lineChart>
      <c:catAx>
        <c:axId val="274489344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74492416"/>
        <c:crosses val="autoZero"/>
        <c:auto val="1"/>
        <c:lblAlgn val="ctr"/>
        <c:lblOffset val="100"/>
      </c:catAx>
      <c:valAx>
        <c:axId val="274492416"/>
        <c:scaling>
          <c:orientation val="minMax"/>
        </c:scaling>
        <c:axPos val="l"/>
        <c:numFmt formatCode="0%" sourceLinked="0"/>
        <c:tickLblPos val="nextTo"/>
        <c:crossAx val="27448934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Restraints!$B$2</c:f>
              <c:strCache>
                <c:ptCount val="1"/>
                <c:pt idx="0">
                  <c:v>Restraint Used - Occupants</c:v>
                </c:pt>
              </c:strCache>
            </c:strRef>
          </c:tx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Restraints!$B$3:$B$21</c:f>
              <c:numCache>
                <c:formatCode>#,##0</c:formatCode>
                <c:ptCount val="19"/>
                <c:pt idx="0">
                  <c:v>22763</c:v>
                </c:pt>
                <c:pt idx="1">
                  <c:v>24166</c:v>
                </c:pt>
                <c:pt idx="2">
                  <c:v>25207</c:v>
                </c:pt>
                <c:pt idx="3">
                  <c:v>25313</c:v>
                </c:pt>
                <c:pt idx="4">
                  <c:v>25854</c:v>
                </c:pt>
                <c:pt idx="5">
                  <c:v>25498</c:v>
                </c:pt>
                <c:pt idx="6">
                  <c:v>26690</c:v>
                </c:pt>
                <c:pt idx="7">
                  <c:v>27222</c:v>
                </c:pt>
                <c:pt idx="8">
                  <c:v>27813</c:v>
                </c:pt>
                <c:pt idx="9">
                  <c:v>28822</c:v>
                </c:pt>
                <c:pt idx="10">
                  <c:v>29072</c:v>
                </c:pt>
                <c:pt idx="11">
                  <c:v>29264</c:v>
                </c:pt>
                <c:pt idx="12">
                  <c:v>28285</c:v>
                </c:pt>
                <c:pt idx="13">
                  <c:v>27622</c:v>
                </c:pt>
                <c:pt idx="14">
                  <c:v>24649</c:v>
                </c:pt>
                <c:pt idx="15">
                  <c:v>22963</c:v>
                </c:pt>
                <c:pt idx="16">
                  <c:v>22712</c:v>
                </c:pt>
                <c:pt idx="17">
                  <c:v>22183</c:v>
                </c:pt>
                <c:pt idx="18">
                  <c:v>22983</c:v>
                </c:pt>
              </c:numCache>
            </c:numRef>
          </c:val>
        </c:ser>
        <c:ser>
          <c:idx val="1"/>
          <c:order val="1"/>
          <c:tx>
            <c:strRef>
              <c:f>Restraints!$C$2</c:f>
              <c:strCache>
                <c:ptCount val="1"/>
                <c:pt idx="0">
                  <c:v>Restraint Not Used - Occupants</c:v>
                </c:pt>
              </c:strCache>
            </c:strRef>
          </c:tx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Restraints!$C$3:$C$21</c:f>
              <c:numCache>
                <c:formatCode>#,##0</c:formatCode>
                <c:ptCount val="19"/>
                <c:pt idx="0">
                  <c:v>18946</c:v>
                </c:pt>
                <c:pt idx="1">
                  <c:v>19427</c:v>
                </c:pt>
                <c:pt idx="2">
                  <c:v>18759</c:v>
                </c:pt>
                <c:pt idx="3">
                  <c:v>18286</c:v>
                </c:pt>
                <c:pt idx="4">
                  <c:v>17601</c:v>
                </c:pt>
                <c:pt idx="5">
                  <c:v>17693</c:v>
                </c:pt>
                <c:pt idx="6">
                  <c:v>16995</c:v>
                </c:pt>
                <c:pt idx="7">
                  <c:v>16528</c:v>
                </c:pt>
                <c:pt idx="8">
                  <c:v>16710</c:v>
                </c:pt>
                <c:pt idx="9">
                  <c:v>15491</c:v>
                </c:pt>
                <c:pt idx="10">
                  <c:v>15120</c:v>
                </c:pt>
                <c:pt idx="11">
                  <c:v>14984</c:v>
                </c:pt>
                <c:pt idx="12">
                  <c:v>14434</c:v>
                </c:pt>
                <c:pt idx="13">
                  <c:v>13215</c:v>
                </c:pt>
                <c:pt idx="14">
                  <c:v>11770</c:v>
                </c:pt>
                <c:pt idx="15">
                  <c:v>10486</c:v>
                </c:pt>
                <c:pt idx="16">
                  <c:v>9598</c:v>
                </c:pt>
                <c:pt idx="17">
                  <c:v>9321</c:v>
                </c:pt>
                <c:pt idx="18">
                  <c:v>9395</c:v>
                </c:pt>
              </c:numCache>
            </c:numRef>
          </c:val>
        </c:ser>
        <c:axId val="137956352"/>
        <c:axId val="137652480"/>
      </c:barChart>
      <c:lineChart>
        <c:grouping val="standard"/>
        <c:ser>
          <c:idx val="2"/>
          <c:order val="2"/>
          <c:tx>
            <c:strRef>
              <c:f>Restraints!$H$2</c:f>
              <c:strCache>
                <c:ptCount val="1"/>
                <c:pt idx="0">
                  <c:v>Restraint Used - % Killed</c:v>
                </c:pt>
              </c:strCache>
            </c:strRef>
          </c:tx>
          <c:marker>
            <c:symbol val="none"/>
          </c:marker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Restraints!$H$3:$H$21</c:f>
              <c:numCache>
                <c:formatCode>0%</c:formatCode>
                <c:ptCount val="19"/>
                <c:pt idx="0">
                  <c:v>0.42358212889337959</c:v>
                </c:pt>
                <c:pt idx="1">
                  <c:v>0.4203840105933957</c:v>
                </c:pt>
                <c:pt idx="2">
                  <c:v>0.42512000634744318</c:v>
                </c:pt>
                <c:pt idx="3">
                  <c:v>0.43436179038438749</c:v>
                </c:pt>
                <c:pt idx="4">
                  <c:v>0.43370464918387869</c:v>
                </c:pt>
                <c:pt idx="5">
                  <c:v>0.43823044944701545</c:v>
                </c:pt>
                <c:pt idx="6">
                  <c:v>0.44162607718246533</c:v>
                </c:pt>
                <c:pt idx="7">
                  <c:v>0.43883623539784</c:v>
                </c:pt>
                <c:pt idx="8">
                  <c:v>0.45061661812821341</c:v>
                </c:pt>
                <c:pt idx="9">
                  <c:v>0.44989938241620986</c:v>
                </c:pt>
                <c:pt idx="10">
                  <c:v>0.45576499724821135</c:v>
                </c:pt>
                <c:pt idx="11">
                  <c:v>0.44641880809185347</c:v>
                </c:pt>
                <c:pt idx="12">
                  <c:v>0.44935478168640625</c:v>
                </c:pt>
                <c:pt idx="13">
                  <c:v>0.446093693432771</c:v>
                </c:pt>
                <c:pt idx="14">
                  <c:v>0.43372956306543875</c:v>
                </c:pt>
                <c:pt idx="15">
                  <c:v>0.44375734877846973</c:v>
                </c:pt>
                <c:pt idx="16">
                  <c:v>0.43893096160619938</c:v>
                </c:pt>
                <c:pt idx="17">
                  <c:v>0.42694856421584099</c:v>
                </c:pt>
                <c:pt idx="18">
                  <c:v>0.42113736239829441</c:v>
                </c:pt>
              </c:numCache>
            </c:numRef>
          </c:val>
        </c:ser>
        <c:ser>
          <c:idx val="3"/>
          <c:order val="3"/>
          <c:tx>
            <c:strRef>
              <c:f>Restraints!$I$2</c:f>
              <c:strCache>
                <c:ptCount val="1"/>
                <c:pt idx="0">
                  <c:v>Restraint Not Used - % Killed</c:v>
                </c:pt>
              </c:strCache>
            </c:strRef>
          </c:tx>
          <c:marker>
            <c:symbol val="none"/>
          </c:marker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Restraints!$I$3:$I$21</c:f>
              <c:numCache>
                <c:formatCode>0%</c:formatCode>
                <c:ptCount val="19"/>
                <c:pt idx="0">
                  <c:v>0.98363770716773991</c:v>
                </c:pt>
                <c:pt idx="1">
                  <c:v>0.98435167550316571</c:v>
                </c:pt>
                <c:pt idx="2">
                  <c:v>1.0047443893597741</c:v>
                </c:pt>
                <c:pt idx="3">
                  <c:v>1.0194684458055343</c:v>
                </c:pt>
                <c:pt idx="4">
                  <c:v>1.0239190955059372</c:v>
                </c:pt>
                <c:pt idx="5">
                  <c:v>1.0352116656304753</c:v>
                </c:pt>
                <c:pt idx="6">
                  <c:v>1.0479552809649897</c:v>
                </c:pt>
                <c:pt idx="7">
                  <c:v>1.0598378509196515</c:v>
                </c:pt>
                <c:pt idx="8">
                  <c:v>1.0650508677438659</c:v>
                </c:pt>
                <c:pt idx="9">
                  <c:v>1.0821767477890387</c:v>
                </c:pt>
                <c:pt idx="10">
                  <c:v>1.0867724867724868</c:v>
                </c:pt>
                <c:pt idx="11">
                  <c:v>1.084289909236519</c:v>
                </c:pt>
                <c:pt idx="12">
                  <c:v>1.0832063184148537</c:v>
                </c:pt>
                <c:pt idx="13">
                  <c:v>1.093151721528566</c:v>
                </c:pt>
                <c:pt idx="14">
                  <c:v>1.0981308411214954</c:v>
                </c:pt>
                <c:pt idx="15">
                  <c:v>1.1009917985885944</c:v>
                </c:pt>
                <c:pt idx="16">
                  <c:v>1.1033548655969994</c:v>
                </c:pt>
                <c:pt idx="17">
                  <c:v>1.0959124557450917</c:v>
                </c:pt>
                <c:pt idx="18">
                  <c:v>1.1000532197977648</c:v>
                </c:pt>
              </c:numCache>
            </c:numRef>
          </c:val>
        </c:ser>
        <c:marker val="1"/>
        <c:axId val="108554880"/>
        <c:axId val="137650944"/>
      </c:lineChart>
      <c:catAx>
        <c:axId val="108554880"/>
        <c:scaling>
          <c:orientation val="minMax"/>
        </c:scaling>
        <c:axPos val="b"/>
        <c:numFmt formatCode="General" sourceLinked="1"/>
        <c:tickLblPos val="nextTo"/>
        <c:crossAx val="137650944"/>
        <c:crosses val="autoZero"/>
        <c:auto val="1"/>
        <c:lblAlgn val="ctr"/>
        <c:lblOffset val="100"/>
      </c:catAx>
      <c:valAx>
        <c:axId val="137650944"/>
        <c:scaling>
          <c:orientation val="minMax"/>
        </c:scaling>
        <c:axPos val="l"/>
        <c:numFmt formatCode="0%" sourceLinked="1"/>
        <c:tickLblPos val="nextTo"/>
        <c:crossAx val="108554880"/>
        <c:crosses val="autoZero"/>
        <c:crossBetween val="between"/>
      </c:valAx>
      <c:valAx>
        <c:axId val="137652480"/>
        <c:scaling>
          <c:orientation val="minMax"/>
        </c:scaling>
        <c:axPos val="r"/>
        <c:numFmt formatCode="#,##0" sourceLinked="1"/>
        <c:tickLblPos val="nextTo"/>
        <c:crossAx val="137956352"/>
        <c:crosses val="max"/>
        <c:crossBetween val="between"/>
      </c:valAx>
      <c:catAx>
        <c:axId val="137956352"/>
        <c:scaling>
          <c:orientation val="minMax"/>
        </c:scaling>
        <c:delete val="1"/>
        <c:axPos val="b"/>
        <c:numFmt formatCode="General" sourceLinked="1"/>
        <c:tickLblPos val="none"/>
        <c:crossAx val="137652480"/>
        <c:crosses val="autoZero"/>
        <c:auto val="1"/>
        <c:lblAlgn val="ctr"/>
        <c:lblOffset val="100"/>
      </c:catAx>
    </c:plotArea>
    <c:legend>
      <c:legendPos val="b"/>
      <c:layout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% Fatalities by Driver BAC Level</a:t>
            </a:r>
          </a:p>
        </c:rich>
      </c:tx>
      <c:layout/>
    </c:title>
    <c:plotArea>
      <c:layout/>
      <c:areaChart>
        <c:grouping val="percentStacked"/>
        <c:ser>
          <c:idx val="2"/>
          <c:order val="0"/>
          <c:tx>
            <c:strRef>
              <c:f>Alcohol!$Q$3</c:f>
              <c:strCache>
                <c:ptCount val="1"/>
                <c:pt idx="0">
                  <c:v>Fatalities - BAC=.08+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Alcohol!$Q$4:$Q$22</c:f>
              <c:numCache>
                <c:formatCode>#,##0</c:formatCode>
                <c:ptCount val="19"/>
                <c:pt idx="0">
                  <c:v>13390</c:v>
                </c:pt>
                <c:pt idx="1">
                  <c:v>13478</c:v>
                </c:pt>
                <c:pt idx="2">
                  <c:v>13451</c:v>
                </c:pt>
                <c:pt idx="3">
                  <c:v>12757</c:v>
                </c:pt>
                <c:pt idx="4">
                  <c:v>12546</c:v>
                </c:pt>
                <c:pt idx="5">
                  <c:v>12555</c:v>
                </c:pt>
                <c:pt idx="6">
                  <c:v>13324</c:v>
                </c:pt>
                <c:pt idx="7">
                  <c:v>13290</c:v>
                </c:pt>
                <c:pt idx="8">
                  <c:v>13472</c:v>
                </c:pt>
                <c:pt idx="9">
                  <c:v>13096</c:v>
                </c:pt>
                <c:pt idx="10">
                  <c:v>13099</c:v>
                </c:pt>
                <c:pt idx="11">
                  <c:v>13582</c:v>
                </c:pt>
                <c:pt idx="12">
                  <c:v>13491</c:v>
                </c:pt>
                <c:pt idx="13">
                  <c:v>13041</c:v>
                </c:pt>
                <c:pt idx="14">
                  <c:v>11711</c:v>
                </c:pt>
                <c:pt idx="15">
                  <c:v>10759</c:v>
                </c:pt>
                <c:pt idx="16">
                  <c:v>10136</c:v>
                </c:pt>
                <c:pt idx="17">
                  <c:v>9865</c:v>
                </c:pt>
                <c:pt idx="18">
                  <c:v>10322</c:v>
                </c:pt>
              </c:numCache>
            </c:numRef>
          </c:val>
        </c:ser>
        <c:ser>
          <c:idx val="1"/>
          <c:order val="1"/>
          <c:tx>
            <c:strRef>
              <c:f>Alcohol!$P$3</c:f>
              <c:strCache>
                <c:ptCount val="1"/>
                <c:pt idx="0">
                  <c:v>Fatalities - BAC=.01-.07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Alcohol!$P$4:$P$22</c:f>
              <c:numCache>
                <c:formatCode>#,##0</c:formatCode>
                <c:ptCount val="19"/>
                <c:pt idx="0">
                  <c:v>2236</c:v>
                </c:pt>
                <c:pt idx="1">
                  <c:v>2416</c:v>
                </c:pt>
                <c:pt idx="2">
                  <c:v>2415</c:v>
                </c:pt>
                <c:pt idx="3">
                  <c:v>2216</c:v>
                </c:pt>
                <c:pt idx="4">
                  <c:v>2353</c:v>
                </c:pt>
                <c:pt idx="5">
                  <c:v>2235</c:v>
                </c:pt>
                <c:pt idx="6">
                  <c:v>2422</c:v>
                </c:pt>
                <c:pt idx="7">
                  <c:v>2441</c:v>
                </c:pt>
                <c:pt idx="8">
                  <c:v>2321</c:v>
                </c:pt>
                <c:pt idx="9">
                  <c:v>2327</c:v>
                </c:pt>
                <c:pt idx="10">
                  <c:v>2212</c:v>
                </c:pt>
                <c:pt idx="11">
                  <c:v>2404</c:v>
                </c:pt>
                <c:pt idx="12">
                  <c:v>2479</c:v>
                </c:pt>
                <c:pt idx="13">
                  <c:v>2494</c:v>
                </c:pt>
                <c:pt idx="14">
                  <c:v>2115</c:v>
                </c:pt>
                <c:pt idx="15">
                  <c:v>1972</c:v>
                </c:pt>
                <c:pt idx="16">
                  <c:v>1771</c:v>
                </c:pt>
                <c:pt idx="17">
                  <c:v>1662</c:v>
                </c:pt>
                <c:pt idx="18">
                  <c:v>1719</c:v>
                </c:pt>
              </c:numCache>
            </c:numRef>
          </c:val>
        </c:ser>
        <c:ser>
          <c:idx val="0"/>
          <c:order val="2"/>
          <c:tx>
            <c:strRef>
              <c:f>Alcohol!$O$3</c:f>
              <c:strCache>
                <c:ptCount val="1"/>
                <c:pt idx="0">
                  <c:v>Fatalities - BAC=&lt;.01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Alcohol!$O$4:$O$22</c:f>
              <c:numCache>
                <c:formatCode>#,##0</c:formatCode>
                <c:ptCount val="19"/>
                <c:pt idx="0">
                  <c:v>25090</c:v>
                </c:pt>
                <c:pt idx="1">
                  <c:v>25923</c:v>
                </c:pt>
                <c:pt idx="2">
                  <c:v>26199</c:v>
                </c:pt>
                <c:pt idx="3">
                  <c:v>27040</c:v>
                </c:pt>
                <c:pt idx="4">
                  <c:v>26602</c:v>
                </c:pt>
                <c:pt idx="5">
                  <c:v>26927</c:v>
                </c:pt>
                <c:pt idx="6">
                  <c:v>26199</c:v>
                </c:pt>
                <c:pt idx="7">
                  <c:v>26465</c:v>
                </c:pt>
                <c:pt idx="8">
                  <c:v>27212</c:v>
                </c:pt>
                <c:pt idx="9">
                  <c:v>27461</c:v>
                </c:pt>
                <c:pt idx="10">
                  <c:v>27525</c:v>
                </c:pt>
                <c:pt idx="11">
                  <c:v>27524</c:v>
                </c:pt>
                <c:pt idx="12">
                  <c:v>26738</c:v>
                </c:pt>
                <c:pt idx="13">
                  <c:v>25724</c:v>
                </c:pt>
                <c:pt idx="14">
                  <c:v>23597</c:v>
                </c:pt>
                <c:pt idx="15">
                  <c:v>21152</c:v>
                </c:pt>
                <c:pt idx="16">
                  <c:v>21092</c:v>
                </c:pt>
                <c:pt idx="17">
                  <c:v>20952</c:v>
                </c:pt>
                <c:pt idx="18">
                  <c:v>21520</c:v>
                </c:pt>
              </c:numCache>
            </c:numRef>
          </c:val>
        </c:ser>
        <c:axId val="148691584"/>
        <c:axId val="81318656"/>
      </c:areaChart>
      <c:catAx>
        <c:axId val="148691584"/>
        <c:scaling>
          <c:orientation val="minMax"/>
        </c:scaling>
        <c:axPos val="b"/>
        <c:numFmt formatCode="General" sourceLinked="1"/>
        <c:tickLblPos val="nextTo"/>
        <c:crossAx val="81318656"/>
        <c:crosses val="autoZero"/>
        <c:auto val="1"/>
        <c:lblAlgn val="ctr"/>
        <c:lblOffset val="100"/>
      </c:catAx>
      <c:valAx>
        <c:axId val="81318656"/>
        <c:scaling>
          <c:orientation val="minMax"/>
        </c:scaling>
        <c:axPos val="l"/>
        <c:numFmt formatCode="0%" sourceLinked="1"/>
        <c:tickLblPos val="nextTo"/>
        <c:crossAx val="148691584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% Driver BAC Level</a:t>
            </a:r>
          </a:p>
        </c:rich>
      </c:tx>
      <c:layout/>
    </c:title>
    <c:plotArea>
      <c:layout/>
      <c:areaChart>
        <c:grouping val="percentStacked"/>
        <c:ser>
          <c:idx val="2"/>
          <c:order val="0"/>
          <c:tx>
            <c:strRef>
              <c:f>Alcohol!$M$3</c:f>
              <c:strCache>
                <c:ptCount val="1"/>
                <c:pt idx="0">
                  <c:v>Drivers - BAC=.08+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Alcohol!$M$4:$M$22</c:f>
              <c:numCache>
                <c:formatCode>#,##0</c:formatCode>
                <c:ptCount val="19"/>
                <c:pt idx="0">
                  <c:v>12359.96</c:v>
                </c:pt>
                <c:pt idx="1">
                  <c:v>12152.67</c:v>
                </c:pt>
                <c:pt idx="2">
                  <c:v>12274.5</c:v>
                </c:pt>
                <c:pt idx="3">
                  <c:v>11623.439999999999</c:v>
                </c:pt>
                <c:pt idx="4">
                  <c:v>11198.36</c:v>
                </c:pt>
                <c:pt idx="5">
                  <c:v>11212.960000000001</c:v>
                </c:pt>
                <c:pt idx="6">
                  <c:v>11953.5</c:v>
                </c:pt>
                <c:pt idx="7">
                  <c:v>11995.71</c:v>
                </c:pt>
                <c:pt idx="8">
                  <c:v>12394.130000000001</c:v>
                </c:pt>
                <c:pt idx="9">
                  <c:v>12045.96</c:v>
                </c:pt>
                <c:pt idx="10">
                  <c:v>11986.08</c:v>
                </c:pt>
                <c:pt idx="11">
                  <c:v>12345.35</c:v>
                </c:pt>
                <c:pt idx="12">
                  <c:v>12346.470000000001</c:v>
                </c:pt>
                <c:pt idx="13">
                  <c:v>11696.64</c:v>
                </c:pt>
                <c:pt idx="14">
                  <c:v>10906.76</c:v>
                </c:pt>
                <c:pt idx="15">
                  <c:v>9762.82</c:v>
                </c:pt>
                <c:pt idx="16">
                  <c:v>9477.81</c:v>
                </c:pt>
                <c:pt idx="17">
                  <c:v>9237.42</c:v>
                </c:pt>
                <c:pt idx="18">
                  <c:v>9561.02</c:v>
                </c:pt>
              </c:numCache>
            </c:numRef>
          </c:val>
        </c:ser>
        <c:ser>
          <c:idx val="1"/>
          <c:order val="1"/>
          <c:tx>
            <c:strRef>
              <c:f>Alcohol!$L$3</c:f>
              <c:strCache>
                <c:ptCount val="1"/>
                <c:pt idx="0">
                  <c:v>Drivers - BAC=.01-.07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Alcohol!$L$4:$L$22</c:f>
              <c:numCache>
                <c:formatCode>#,##0</c:formatCode>
                <c:ptCount val="19"/>
                <c:pt idx="0">
                  <c:v>2016.3299999999995</c:v>
                </c:pt>
                <c:pt idx="1">
                  <c:v>2487.27</c:v>
                </c:pt>
                <c:pt idx="2">
                  <c:v>2100.5400000000009</c:v>
                </c:pt>
                <c:pt idx="3">
                  <c:v>2086.7800000000016</c:v>
                </c:pt>
                <c:pt idx="4">
                  <c:v>2493.4699999999993</c:v>
                </c:pt>
                <c:pt idx="5">
                  <c:v>2347.3000000000002</c:v>
                </c:pt>
                <c:pt idx="6">
                  <c:v>2533.4499999999998</c:v>
                </c:pt>
                <c:pt idx="7">
                  <c:v>2393.4300000000012</c:v>
                </c:pt>
                <c:pt idx="8">
                  <c:v>2145.0499999999997</c:v>
                </c:pt>
                <c:pt idx="9">
                  <c:v>2007.6600000000005</c:v>
                </c:pt>
                <c:pt idx="10">
                  <c:v>2151.52</c:v>
                </c:pt>
                <c:pt idx="11">
                  <c:v>2183.0499999999988</c:v>
                </c:pt>
                <c:pt idx="12">
                  <c:v>2553.7399999999998</c:v>
                </c:pt>
                <c:pt idx="13">
                  <c:v>2478.1700000000014</c:v>
                </c:pt>
                <c:pt idx="14">
                  <c:v>1861.2500000000005</c:v>
                </c:pt>
                <c:pt idx="15">
                  <c:v>2000.0200000000004</c:v>
                </c:pt>
                <c:pt idx="16">
                  <c:v>1520.3400000000008</c:v>
                </c:pt>
                <c:pt idx="17">
                  <c:v>1502.0200000000013</c:v>
                </c:pt>
                <c:pt idx="18">
                  <c:v>1555.1399999999992</c:v>
                </c:pt>
              </c:numCache>
            </c:numRef>
          </c:val>
        </c:ser>
        <c:ser>
          <c:idx val="0"/>
          <c:order val="2"/>
          <c:tx>
            <c:strRef>
              <c:f>Alcohol!$K$3</c:f>
              <c:strCache>
                <c:ptCount val="1"/>
                <c:pt idx="0">
                  <c:v>Drivers - BAC=&lt;.01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Alcohol!$K$4:$K$22</c:f>
              <c:numCache>
                <c:formatCode>#,##0</c:formatCode>
                <c:ptCount val="19"/>
                <c:pt idx="0">
                  <c:v>39423.71</c:v>
                </c:pt>
                <c:pt idx="1">
                  <c:v>40779.06</c:v>
                </c:pt>
                <c:pt idx="2">
                  <c:v>41850.959999999999</c:v>
                </c:pt>
                <c:pt idx="3">
                  <c:v>42197.78</c:v>
                </c:pt>
                <c:pt idx="4">
                  <c:v>42213.17</c:v>
                </c:pt>
                <c:pt idx="5">
                  <c:v>42286.74</c:v>
                </c:pt>
                <c:pt idx="6">
                  <c:v>42098.05</c:v>
                </c:pt>
                <c:pt idx="7">
                  <c:v>42430.86</c:v>
                </c:pt>
                <c:pt idx="8">
                  <c:v>42836.82</c:v>
                </c:pt>
                <c:pt idx="9">
                  <c:v>43743.38</c:v>
                </c:pt>
                <c:pt idx="10">
                  <c:v>43496.4</c:v>
                </c:pt>
                <c:pt idx="11">
                  <c:v>43812.6</c:v>
                </c:pt>
                <c:pt idx="12">
                  <c:v>42075.789999999994</c:v>
                </c:pt>
                <c:pt idx="13">
                  <c:v>41062.189999999995</c:v>
                </c:pt>
                <c:pt idx="14">
                  <c:v>36919.99</c:v>
                </c:pt>
                <c:pt idx="15">
                  <c:v>32983.160000000003</c:v>
                </c:pt>
                <c:pt idx="16">
                  <c:v>32939.85</c:v>
                </c:pt>
                <c:pt idx="17">
                  <c:v>32443.559999999998</c:v>
                </c:pt>
                <c:pt idx="18">
                  <c:v>33516.839999999997</c:v>
                </c:pt>
              </c:numCache>
            </c:numRef>
          </c:val>
        </c:ser>
        <c:axId val="81332096"/>
        <c:axId val="81333632"/>
      </c:areaChart>
      <c:catAx>
        <c:axId val="81332096"/>
        <c:scaling>
          <c:orientation val="minMax"/>
        </c:scaling>
        <c:axPos val="b"/>
        <c:numFmt formatCode="General" sourceLinked="1"/>
        <c:tickLblPos val="nextTo"/>
        <c:crossAx val="81333632"/>
        <c:crosses val="autoZero"/>
        <c:auto val="1"/>
        <c:lblAlgn val="ctr"/>
        <c:lblOffset val="100"/>
      </c:catAx>
      <c:valAx>
        <c:axId val="81333632"/>
        <c:scaling>
          <c:orientation val="minMax"/>
        </c:scaling>
        <c:axPos val="l"/>
        <c:numFmt formatCode="0%" sourceLinked="1"/>
        <c:tickLblPos val="nextTo"/>
        <c:crossAx val="81332096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Driver Involved in Fatal Crashes</a:t>
            </a:r>
          </a:p>
        </c:rich>
      </c:tx>
      <c:layout/>
    </c:title>
    <c:plotArea>
      <c:layout/>
      <c:lineChart>
        <c:grouping val="standard"/>
        <c:ser>
          <c:idx val="0"/>
          <c:order val="1"/>
          <c:tx>
            <c:strRef>
              <c:f>Alcohol!$K$3</c:f>
              <c:strCache>
                <c:ptCount val="1"/>
                <c:pt idx="0">
                  <c:v>Drivers - BAC=&lt;.01 </c:v>
                </c:pt>
              </c:strCache>
            </c:strRef>
          </c:tx>
          <c:marker>
            <c:symbol val="none"/>
          </c:marker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Alcohol!$K$4:$K$22</c:f>
              <c:numCache>
                <c:formatCode>#,##0</c:formatCode>
                <c:ptCount val="19"/>
                <c:pt idx="0">
                  <c:v>39423.71</c:v>
                </c:pt>
                <c:pt idx="1">
                  <c:v>40779.06</c:v>
                </c:pt>
                <c:pt idx="2">
                  <c:v>41850.959999999999</c:v>
                </c:pt>
                <c:pt idx="3">
                  <c:v>42197.78</c:v>
                </c:pt>
                <c:pt idx="4">
                  <c:v>42213.17</c:v>
                </c:pt>
                <c:pt idx="5">
                  <c:v>42286.74</c:v>
                </c:pt>
                <c:pt idx="6">
                  <c:v>42098.05</c:v>
                </c:pt>
                <c:pt idx="7">
                  <c:v>42430.86</c:v>
                </c:pt>
                <c:pt idx="8">
                  <c:v>42836.82</c:v>
                </c:pt>
                <c:pt idx="9">
                  <c:v>43743.38</c:v>
                </c:pt>
                <c:pt idx="10">
                  <c:v>43496.4</c:v>
                </c:pt>
                <c:pt idx="11">
                  <c:v>43812.6</c:v>
                </c:pt>
                <c:pt idx="12">
                  <c:v>42075.789999999994</c:v>
                </c:pt>
                <c:pt idx="13">
                  <c:v>41062.189999999995</c:v>
                </c:pt>
                <c:pt idx="14">
                  <c:v>36919.99</c:v>
                </c:pt>
                <c:pt idx="15">
                  <c:v>32983.160000000003</c:v>
                </c:pt>
                <c:pt idx="16">
                  <c:v>32939.85</c:v>
                </c:pt>
                <c:pt idx="17">
                  <c:v>32443.559999999998</c:v>
                </c:pt>
                <c:pt idx="18">
                  <c:v>33516.839999999997</c:v>
                </c:pt>
              </c:numCache>
            </c:numRef>
          </c:val>
        </c:ser>
        <c:marker val="1"/>
        <c:axId val="81360000"/>
        <c:axId val="81361536"/>
      </c:lineChart>
      <c:lineChart>
        <c:grouping val="standard"/>
        <c:ser>
          <c:idx val="2"/>
          <c:order val="0"/>
          <c:tx>
            <c:strRef>
              <c:f>Alcohol!$M$3</c:f>
              <c:strCache>
                <c:ptCount val="1"/>
                <c:pt idx="0">
                  <c:v>Drivers - BAC=.08+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Alcohol!$M$4:$M$22</c:f>
              <c:numCache>
                <c:formatCode>#,##0</c:formatCode>
                <c:ptCount val="19"/>
                <c:pt idx="0">
                  <c:v>12359.96</c:v>
                </c:pt>
                <c:pt idx="1">
                  <c:v>12152.67</c:v>
                </c:pt>
                <c:pt idx="2">
                  <c:v>12274.5</c:v>
                </c:pt>
                <c:pt idx="3">
                  <c:v>11623.439999999999</c:v>
                </c:pt>
                <c:pt idx="4">
                  <c:v>11198.36</c:v>
                </c:pt>
                <c:pt idx="5">
                  <c:v>11212.960000000001</c:v>
                </c:pt>
                <c:pt idx="6">
                  <c:v>11953.5</c:v>
                </c:pt>
                <c:pt idx="7">
                  <c:v>11995.71</c:v>
                </c:pt>
                <c:pt idx="8">
                  <c:v>12394.130000000001</c:v>
                </c:pt>
                <c:pt idx="9">
                  <c:v>12045.96</c:v>
                </c:pt>
                <c:pt idx="10">
                  <c:v>11986.08</c:v>
                </c:pt>
                <c:pt idx="11">
                  <c:v>12345.35</c:v>
                </c:pt>
                <c:pt idx="12">
                  <c:v>12346.470000000001</c:v>
                </c:pt>
                <c:pt idx="13">
                  <c:v>11696.64</c:v>
                </c:pt>
                <c:pt idx="14">
                  <c:v>10906.76</c:v>
                </c:pt>
                <c:pt idx="15">
                  <c:v>9762.82</c:v>
                </c:pt>
                <c:pt idx="16">
                  <c:v>9477.81</c:v>
                </c:pt>
                <c:pt idx="17">
                  <c:v>9237.42</c:v>
                </c:pt>
                <c:pt idx="18">
                  <c:v>9561.02</c:v>
                </c:pt>
              </c:numCache>
            </c:numRef>
          </c:val>
        </c:ser>
        <c:marker val="1"/>
        <c:axId val="81364864"/>
        <c:axId val="81363328"/>
      </c:lineChart>
      <c:catAx>
        <c:axId val="81360000"/>
        <c:scaling>
          <c:orientation val="minMax"/>
        </c:scaling>
        <c:axPos val="b"/>
        <c:numFmt formatCode="General" sourceLinked="1"/>
        <c:tickLblPos val="nextTo"/>
        <c:crossAx val="81361536"/>
        <c:crosses val="autoZero"/>
        <c:auto val="1"/>
        <c:lblAlgn val="ctr"/>
        <c:lblOffset val="100"/>
      </c:catAx>
      <c:valAx>
        <c:axId val="81361536"/>
        <c:scaling>
          <c:orientation val="minMax"/>
        </c:scaling>
        <c:axPos val="l"/>
        <c:numFmt formatCode="#,##0" sourceLinked="1"/>
        <c:tickLblPos val="nextTo"/>
        <c:crossAx val="81360000"/>
        <c:crosses val="autoZero"/>
        <c:crossBetween val="between"/>
      </c:valAx>
      <c:valAx>
        <c:axId val="81363328"/>
        <c:scaling>
          <c:orientation val="minMax"/>
        </c:scaling>
        <c:axPos val="r"/>
        <c:numFmt formatCode="#,##0" sourceLinked="1"/>
        <c:tickLblPos val="nextTo"/>
        <c:crossAx val="81364864"/>
        <c:crosses val="max"/>
        <c:crossBetween val="between"/>
      </c:valAx>
      <c:catAx>
        <c:axId val="81364864"/>
        <c:scaling>
          <c:orientation val="minMax"/>
        </c:scaling>
        <c:delete val="1"/>
        <c:axPos val="b"/>
        <c:numFmt formatCode="General" sourceLinked="1"/>
        <c:tickLblPos val="none"/>
        <c:crossAx val="81363328"/>
        <c:crosses val="autoZero"/>
        <c:auto val="1"/>
        <c:lblAlgn val="ctr"/>
        <c:lblOffset val="100"/>
      </c:catAx>
    </c:plotArea>
    <c:legend>
      <c:legendPos val="b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[NHTS_Site_Data_v1.xlsm]Injuries (mod)!PivotTable1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Injuries vs Fatalities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'Injuries (mod)'!$Q$9:$Q$10</c:f>
              <c:strCache>
                <c:ptCount val="1"/>
                <c:pt idx="0">
                  <c:v>Injured</c:v>
                </c:pt>
              </c:strCache>
            </c:strRef>
          </c:tx>
          <c:marker>
            <c:symbol val="none"/>
          </c:marker>
          <c:cat>
            <c:strRef>
              <c:f>'Injuries (mod)'!$P$11:$P$27</c:f>
              <c:strCache>
                <c:ptCount val="16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</c:strCache>
            </c:strRef>
          </c:cat>
          <c:val>
            <c:numRef>
              <c:f>'Injuries (mod)'!$Q$11:$Q$27</c:f>
              <c:numCache>
                <c:formatCode>#,##0</c:formatCode>
                <c:ptCount val="16"/>
                <c:pt idx="0">
                  <c:v>3045000</c:v>
                </c:pt>
                <c:pt idx="1">
                  <c:v>3246000</c:v>
                </c:pt>
                <c:pt idx="2">
                  <c:v>3277000</c:v>
                </c:pt>
                <c:pt idx="3">
                  <c:v>3149000</c:v>
                </c:pt>
                <c:pt idx="4">
                  <c:v>3012000</c:v>
                </c:pt>
                <c:pt idx="5">
                  <c:v>3047000</c:v>
                </c:pt>
                <c:pt idx="6">
                  <c:v>2997000</c:v>
                </c:pt>
                <c:pt idx="7">
                  <c:v>2841000</c:v>
                </c:pt>
                <c:pt idx="8">
                  <c:v>2735000</c:v>
                </c:pt>
                <c:pt idx="9">
                  <c:v>2697324</c:v>
                </c:pt>
                <c:pt idx="10">
                  <c:v>2593679</c:v>
                </c:pt>
                <c:pt idx="11">
                  <c:v>2494000</c:v>
                </c:pt>
                <c:pt idx="12">
                  <c:v>2375000</c:v>
                </c:pt>
                <c:pt idx="13">
                  <c:v>2264000</c:v>
                </c:pt>
                <c:pt idx="14">
                  <c:v>2119788</c:v>
                </c:pt>
                <c:pt idx="15">
                  <c:v>2011362</c:v>
                </c:pt>
              </c:numCache>
            </c:numRef>
          </c:val>
        </c:ser>
        <c:marker val="1"/>
        <c:axId val="75724672"/>
        <c:axId val="75726208"/>
      </c:lineChart>
      <c:lineChart>
        <c:grouping val="standard"/>
        <c:ser>
          <c:idx val="1"/>
          <c:order val="1"/>
          <c:tx>
            <c:strRef>
              <c:f>'Injuries (mod)'!$R$9:$R$10</c:f>
              <c:strCache>
                <c:ptCount val="1"/>
                <c:pt idx="0">
                  <c:v>Killed</c:v>
                </c:pt>
              </c:strCache>
            </c:strRef>
          </c:tx>
          <c:marker>
            <c:symbol val="none"/>
          </c:marker>
          <c:cat>
            <c:strRef>
              <c:f>'Injuries (mod)'!$P$11:$P$27</c:f>
              <c:strCache>
                <c:ptCount val="16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</c:strCache>
            </c:strRef>
          </c:cat>
          <c:val>
            <c:numRef>
              <c:f>'Injuries (mod)'!$R$11:$R$27</c:f>
              <c:numCache>
                <c:formatCode>#,##0</c:formatCode>
                <c:ptCount val="16"/>
                <c:pt idx="0">
                  <c:v>31998</c:v>
                </c:pt>
                <c:pt idx="1">
                  <c:v>33064</c:v>
                </c:pt>
                <c:pt idx="2">
                  <c:v>33534</c:v>
                </c:pt>
                <c:pt idx="3">
                  <c:v>33609</c:v>
                </c:pt>
                <c:pt idx="4">
                  <c:v>33088</c:v>
                </c:pt>
                <c:pt idx="5">
                  <c:v>33392</c:v>
                </c:pt>
                <c:pt idx="6">
                  <c:v>33451</c:v>
                </c:pt>
                <c:pt idx="7">
                  <c:v>33243</c:v>
                </c:pt>
                <c:pt idx="8">
                  <c:v>34105</c:v>
                </c:pt>
                <c:pt idx="9">
                  <c:v>33627</c:v>
                </c:pt>
                <c:pt idx="10">
                  <c:v>33276</c:v>
                </c:pt>
                <c:pt idx="11">
                  <c:v>33070</c:v>
                </c:pt>
                <c:pt idx="12">
                  <c:v>32119</c:v>
                </c:pt>
                <c:pt idx="13">
                  <c:v>30527</c:v>
                </c:pt>
                <c:pt idx="14">
                  <c:v>26791</c:v>
                </c:pt>
                <c:pt idx="15">
                  <c:v>24474</c:v>
                </c:pt>
              </c:numCache>
            </c:numRef>
          </c:val>
        </c:ser>
        <c:marker val="1"/>
        <c:axId val="209900288"/>
        <c:axId val="208673024"/>
      </c:lineChart>
      <c:catAx>
        <c:axId val="75724672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5726208"/>
        <c:crosses val="autoZero"/>
        <c:auto val="1"/>
        <c:lblAlgn val="ctr"/>
        <c:lblOffset val="100"/>
      </c:catAx>
      <c:valAx>
        <c:axId val="75726208"/>
        <c:scaling>
          <c:orientation val="minMax"/>
        </c:scaling>
        <c:axPos val="l"/>
        <c:numFmt formatCode="#,##0" sourceLinked="1"/>
        <c:tickLblPos val="nextTo"/>
        <c:crossAx val="75724672"/>
        <c:crosses val="autoZero"/>
        <c:crossBetween val="between"/>
      </c:valAx>
      <c:valAx>
        <c:axId val="208673024"/>
        <c:scaling>
          <c:orientation val="minMax"/>
        </c:scaling>
        <c:axPos val="r"/>
        <c:numFmt formatCode="#,##0" sourceLinked="1"/>
        <c:tickLblPos val="nextTo"/>
        <c:crossAx val="209900288"/>
        <c:crosses val="max"/>
        <c:crossBetween val="between"/>
      </c:valAx>
      <c:catAx>
        <c:axId val="209900288"/>
        <c:scaling>
          <c:orientation val="minMax"/>
        </c:scaling>
        <c:delete val="1"/>
        <c:axPos val="b"/>
        <c:tickLblPos val="none"/>
        <c:crossAx val="208673024"/>
        <c:auto val="1"/>
        <c:lblAlgn val="ctr"/>
        <c:lblOffset val="100"/>
      </c:cat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5</xdr:row>
      <xdr:rowOff>161924</xdr:rowOff>
    </xdr:from>
    <xdr:to>
      <xdr:col>11</xdr:col>
      <xdr:colOff>314325</xdr:colOff>
      <xdr:row>21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2</xdr:row>
      <xdr:rowOff>171450</xdr:rowOff>
    </xdr:from>
    <xdr:to>
      <xdr:col>17</xdr:col>
      <xdr:colOff>457200</xdr:colOff>
      <xdr:row>19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</xdr:row>
      <xdr:rowOff>0</xdr:rowOff>
    </xdr:from>
    <xdr:to>
      <xdr:col>33</xdr:col>
      <xdr:colOff>336177</xdr:colOff>
      <xdr:row>15</xdr:row>
      <xdr:rowOff>156882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336177</xdr:colOff>
      <xdr:row>15</xdr:row>
      <xdr:rowOff>156882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25</xdr:col>
      <xdr:colOff>336177</xdr:colOff>
      <xdr:row>35</xdr:row>
      <xdr:rowOff>156882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431800</xdr:colOff>
      <xdr:row>8</xdr:row>
      <xdr:rowOff>139700</xdr:rowOff>
    </xdr:from>
    <xdr:to>
      <xdr:col>27</xdr:col>
      <xdr:colOff>139700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dar/AppData/Local/Temp/12s1106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dar" refreshedDate="42112.717428356482" createdVersion="3" refreshedVersion="3" minRefreshableVersion="3" recordCount="57">
  <cacheSource type="worksheet">
    <worksheetSource ref="A6:N63" sheet="Injuries (mod)"/>
  </cacheSource>
  <cacheFields count="14">
    <cacheField name="Type" numFmtId="0">
      <sharedItems count="2">
        <s v="Killed"/>
        <s v="Injured"/>
      </sharedItems>
    </cacheField>
    <cacheField name="Year" numFmtId="0">
      <sharedItems containsSemiMixedTypes="0" containsString="0" containsNumber="1" containsInteger="1" minValue="1975" maxValue="2009" count="35"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</sharedItems>
    </cacheField>
    <cacheField name="Total" numFmtId="3">
      <sharedItems containsSemiMixedTypes="0" containsString="0" containsNumber="1" containsInteger="1" minValue="33808" maxValue="3483000"/>
    </cacheField>
    <cacheField name="Occupants - Total" numFmtId="3">
      <sharedItems containsSemiMixedTypes="0" containsString="0" containsNumber="1" containsInteger="1" minValue="24474" maxValue="3277000"/>
    </cacheField>
    <cacheField name="Occupants - Passenger cars" numFmtId="3">
      <sharedItems containsSemiMixedTypes="0" containsString="0" containsNumber="1" containsInteger="1" minValue="13095" maxValue="2585000"/>
    </cacheField>
    <cacheField name="Occupants - Light trucks \1" numFmtId="0">
      <sharedItems containsSemiMixedTypes="0" containsString="0" containsNumber="1" containsInteger="1" minValue="4856" maxValue="900171"/>
    </cacheField>
    <cacheField name="Occupants - Large trucks \1" numFmtId="0">
      <sharedItems containsSemiMixedTypes="0" containsString="0" containsNumber="1" containsInteger="1" minValue="503" maxValue="43000"/>
    </cacheField>
    <cacheField name="Occupants - Buses" numFmtId="0">
      <sharedItems containsSemiMixedTypes="0" containsString="0" containsNumber="1" containsInteger="1" minValue="18" maxValue="33000"/>
    </cacheField>
    <cacheField name="Occupants - Other/ unknown \3" numFmtId="0">
      <sharedItems containsSemiMixedTypes="0" containsString="0" containsNumber="1" containsInteger="1" minValue="362" maxValue="12000"/>
    </cacheField>
    <cacheField name="Motorcycle riders \3" numFmtId="0">
      <sharedItems containsSemiMixedTypes="0" containsString="0" containsNumber="1" containsInteger="1" minValue="2116" maxValue="105000"/>
    </cacheField>
    <cacheField name="Nonoccupants - Total" numFmtId="0">
      <sharedItems containsSemiMixedTypes="0" containsString="0" containsNumber="1" minValue="4872" maxValue="196000"/>
    </cacheField>
    <cacheField name="Nonoccupants - Pedestrian" numFmtId="0">
      <sharedItems containsSemiMixedTypes="0" containsString="0" containsNumber="1" containsInteger="1" minValue="4092" maxValue="112000"/>
    </cacheField>
    <cacheField name="Nonoccupants - Pedal-cyclist" numFmtId="0">
      <sharedItems containsSemiMixedTypes="0" containsString="0" containsNumber="1" containsInteger="1" minValue="629" maxValue="75000"/>
    </cacheField>
    <cacheField name="Nonoccupants - Other/ unknown \3" numFmtId="0">
      <sharedItems containsSemiMixedTypes="0" containsString="0" containsNumber="1" containsInteger="1" minValue="74" maxValue="11000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dar" refreshedDate="42113.605141898151" createdVersion="3" refreshedVersion="3" minRefreshableVersion="3" recordCount="19">
  <cacheSource type="worksheet">
    <worksheetSource ref="A1:AH20" sheet="Data - Summary"/>
  </cacheSource>
  <cacheFields count="42">
    <cacheField name="Year" numFmtId="0">
      <sharedItems containsSemiMixedTypes="0" containsString="0" containsNumber="1" containsInteger="1" minValue="1994" maxValue="2012" count="19"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Fatal Crashes" numFmtId="3">
      <sharedItems containsSemiMixedTypes="0" containsString="0" containsNumber="1" containsInteger="1" minValue="29867" maxValue="39252"/>
    </cacheField>
    <cacheField name="Motorist - Drivers" numFmtId="3">
      <sharedItems containsSemiMixedTypes="0" containsString="0" containsNumber="1" containsInteger="1" minValue="16474" maxValue="23625"/>
    </cacheField>
    <cacheField name="Motorist - Passengers" numFmtId="3">
      <sharedItems containsSemiMixedTypes="0" containsString="0" containsNumber="1" containsInteger="1" minValue="5972" maxValue="10860"/>
    </cacheField>
    <cacheField name="Motorist - Unknown" numFmtId="0">
      <sharedItems containsSemiMixedTypes="0" containsString="0" containsNumber="1" containsInteger="1" minValue="56" maxValue="118"/>
    </cacheField>
    <cacheField name="Nonmotorist - Pedestrians" numFmtId="3">
      <sharedItems containsSemiMixedTypes="0" containsString="0" containsNumber="1" containsInteger="1" minValue="4109" maxValue="5584"/>
    </cacheField>
    <cacheField name="Nonmotorist - Pedalcyclists" numFmtId="0">
      <sharedItems containsSemiMixedTypes="0" containsString="0" containsNumber="1" containsInteger="1" minValue="623" maxValue="833"/>
    </cacheField>
    <cacheField name="Nonmotorist - Other/ Unknown" numFmtId="0">
      <sharedItems containsSemiMixedTypes="0" containsString="0" containsNumber="1" containsInteger="1" minValue="107" maxValue="223"/>
    </cacheField>
    <cacheField name="Vehicle Miles Traveled (Billions)" numFmtId="3">
      <sharedItems containsSemiMixedTypes="0" containsString="0" containsNumber="1" containsInteger="1" minValue="2358" maxValue="3031"/>
    </cacheField>
    <cacheField name="Resident Population (Thousands)" numFmtId="3">
      <sharedItems containsSemiMixedTypes="0" containsString="0" containsNumber="1" containsInteger="1" minValue="260327" maxValue="313914"/>
    </cacheField>
    <cacheField name="Registered Vehicles (Thousands)" numFmtId="3">
      <sharedItems containsSemiMixedTypes="0" containsString="0" containsNumber="1" containsInteger="1" minValue="192497" maxValue="265647"/>
    </cacheField>
    <cacheField name="Licensed Drivers (Thousands)" numFmtId="3">
      <sharedItems containsSemiMixedTypes="0" containsString="0" containsNumber="1" containsInteger="1" minValue="175403" maxValue="211875"/>
    </cacheField>
    <cacheField name="Number of Passenger Cars involving Fatalities" numFmtId="3">
      <sharedItems containsSemiMixedTypes="0" containsString="0" containsNumber="1" containsInteger="1" minValue="17508" maxValue="30940"/>
    </cacheField>
    <cacheField name="Number of Light Trucks involving Fatalities" numFmtId="3">
      <sharedItems containsSemiMixedTypes="0" containsString="0" containsNumber="1" containsInteger="1" minValue="16353" maxValue="22964"/>
    </cacheField>
    <cacheField name="Number of Large Trucks involving Fatalities" numFmtId="3">
      <sharedItems containsSemiMixedTypes="0" containsString="0" containsNumber="1" containsInteger="1" minValue="3211" maxValue="4995"/>
    </cacheField>
    <cacheField name="Number of Motorcycles involving Fatalities" numFmtId="3">
      <sharedItems containsSemiMixedTypes="0" containsString="0" containsNumber="1" containsInteger="1" minValue="2160" maxValue="5409"/>
    </cacheField>
    <cacheField name="Fatalities - Passenger Cars" numFmtId="3">
      <sharedItems containsSemiMixedTypes="0" containsString="0" containsNumber="1" containsInteger="1" minValue="12014" maxValue="22505"/>
    </cacheField>
    <cacheField name="Fatalities -Light Trucks" numFmtId="3">
      <sharedItems containsSemiMixedTypes="0" containsString="0" containsNumber="1" containsInteger="1" minValue="8904" maxValue="13037"/>
    </cacheField>
    <cacheField name="Fatalities -Large Trucks" numFmtId="3">
      <sharedItems containsSemiMixedTypes="0" containsString="0" containsNumber="1" containsInteger="1" minValue="499" maxValue="805"/>
    </cacheField>
    <cacheField name="Fatalities -Buses" numFmtId="3">
      <sharedItems containsSemiMixedTypes="0" containsString="0" containsNumber="1" containsInteger="1" minValue="18" maxValue="67"/>
    </cacheField>
    <cacheField name="Fatalities -Other/ Unknown" numFmtId="3">
      <sharedItems containsSemiMixedTypes="0" containsString="0" containsNumber="1" containsInteger="1" minValue="392" maxValue="659"/>
    </cacheField>
    <cacheField name="Fatalities -Motorcycles" numFmtId="3">
      <sharedItems containsSemiMixedTypes="0" containsString="0" containsNumber="1" containsInteger="1" minValue="2116" maxValue="5312"/>
    </cacheField>
    <cacheField name="Fatalities -Pedestrian" numFmtId="3">
      <sharedItems containsSemiMixedTypes="0" containsString="0" containsNumber="1" containsInteger="1" minValue="4109" maxValue="5584"/>
    </cacheField>
    <cacheField name="Fatalities -Pedalcyclist" numFmtId="3">
      <sharedItems containsSemiMixedTypes="0" containsString="0" containsNumber="1" containsInteger="1" minValue="623" maxValue="833"/>
    </cacheField>
    <cacheField name="Fatalities -Other" numFmtId="3">
      <sharedItems containsSemiMixedTypes="0" containsString="0" containsNumber="1" containsInteger="1" minValue="107" maxValue="223"/>
    </cacheField>
    <cacheField name="Rollover No - Passenger Cars" numFmtId="3">
      <sharedItems containsSemiMixedTypes="0" containsString="0" containsNumber="1" containsInteger="1" minValue="2849" maxValue="5076"/>
    </cacheField>
    <cacheField name="Rollover No - Light Trucks - Pickup" numFmtId="3">
      <sharedItems containsSemiMixedTypes="0" containsString="0" containsNumber="1" containsInteger="1" minValue="1993" maxValue="2844"/>
    </cacheField>
    <cacheField name="Rollover No - Light Trucks - Utility" numFmtId="3">
      <sharedItems containsSemiMixedTypes="0" containsString="0" containsNumber="1" containsInteger="1" minValue="1063" maxValue="2929"/>
    </cacheField>
    <cacheField name="Rollover No - Light Trucks - Van" numFmtId="3">
      <sharedItems containsSemiMixedTypes="0" containsString="0" containsNumber="1" containsInteger="1" minValue="327" maxValue="823"/>
    </cacheField>
    <cacheField name="Rollover No - Light Trucks - Other" numFmtId="3">
      <sharedItems containsSemiMixedTypes="0" containsString="0" containsNumber="1" containsInteger="1" minValue="2" maxValue="30"/>
    </cacheField>
    <cacheField name="Fatalities - Light Trucks - Pickup" numFmtId="3">
      <sharedItems containsSemiMixedTypes="0" containsString="0" containsNumber="1" containsInteger="1" minValue="4270" maxValue="6139"/>
    </cacheField>
    <cacheField name="Fatalities - Light Trucks - Utility" numFmtId="3">
      <sharedItems containsSemiMixedTypes="0" containsString="0" containsNumber="1" containsInteger="1" minValue="1757" maxValue="4928"/>
    </cacheField>
    <cacheField name="Fatalities - Light Trucks - Van" numFmtId="3">
      <sharedItems containsSemiMixedTypes="0" containsString="0" containsNumber="1" containsInteger="1" minValue="1128" maxValue="2129"/>
    </cacheField>
    <cacheField name="Fatalities - Light Trucks - Other" numFmtId="0">
      <sharedItems containsSemiMixedTypes="0" containsString="0" containsNumber="1" containsInteger="1" minValue="8" maxValue="68"/>
    </cacheField>
    <cacheField name="Fatalaties per Type - Passenger Cars" numFmtId="0" formula="'Fatalities - Passenger Cars'/'Number of Passenger Cars involving Fatalities'" databaseField="0"/>
    <cacheField name="Fatalaties per Type - Light Trucks" numFmtId="0" formula="'Fatalities -Light Trucks' /'Number of Light Trucks involving Fatalities'" databaseField="0"/>
    <cacheField name="Fatalaties per Type - Large Trucks" numFmtId="0" formula="'Fatalities -Large Trucks' /'Number of Large Trucks involving Fatalities'" databaseField="0"/>
    <cacheField name="Fatalaties per Type - Motorcycles" numFmtId="0" formula="'Fatalities -Motorcycles' /'Number of Motorcycles involving Fatalities'" databaseField="0"/>
    <cacheField name="Rollover Fatality Rates - Passenger Cars" numFmtId="0" formula="'Rollover No - Passenger Cars' /'Fatalities - Passenger Cars'" databaseField="0"/>
    <cacheField name="Rollover Fatality Rates - Light Trucks Utility" numFmtId="0" formula="'Rollover No - Light Trucks - Utility'/'Fatalities - Light Trucks - Utility'" databaseField="0"/>
    <cacheField name="Rollover Fatality Rates - Light Trucks Van" numFmtId="0" formula="'Rollover No - Light Trucks - Van' /'Fatalities - Light Trucks - Van'" databaseField="0"/>
    <cacheField name="Rollover Fatality Rates - Light Trucks Pickup" numFmtId="0" formula="'Rollover No - Light Trucks - Pickup' /'Fatalities - Light Trucks - Pickup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x v="0"/>
    <x v="0"/>
    <n v="44525"/>
    <n v="32736"/>
    <n v="25929"/>
    <n v="4856"/>
    <n v="961"/>
    <n v="53"/>
    <n v="937"/>
    <n v="3189"/>
    <n v="8600"/>
    <n v="7516"/>
    <n v="1003"/>
    <n v="81"/>
  </r>
  <r>
    <x v="0"/>
    <x v="1"/>
    <n v="45523"/>
    <n v="33790"/>
    <n v="26166"/>
    <n v="5438"/>
    <n v="1132"/>
    <n v="73"/>
    <n v="981"/>
    <n v="3312"/>
    <n v="8421"/>
    <n v="7427"/>
    <n v="914"/>
    <n v="80"/>
  </r>
  <r>
    <x v="0"/>
    <x v="2"/>
    <n v="47878"/>
    <n v="35046"/>
    <n v="26782"/>
    <n v="5976"/>
    <n v="1287"/>
    <n v="42"/>
    <n v="959"/>
    <n v="4104"/>
    <n v="8728"/>
    <n v="7732"/>
    <n v="922"/>
    <n v="74"/>
  </r>
  <r>
    <x v="0"/>
    <x v="3"/>
    <n v="50331"/>
    <n v="36956"/>
    <n v="28153"/>
    <n v="6745"/>
    <n v="1395"/>
    <n v="41"/>
    <n v="622"/>
    <n v="4577"/>
    <n v="8798"/>
    <n v="7795"/>
    <n v="892"/>
    <n v="111"/>
  </r>
  <r>
    <x v="0"/>
    <x v="4"/>
    <n v="51093"/>
    <n v="37036"/>
    <n v="27808"/>
    <n v="7178"/>
    <n v="1432"/>
    <n v="39"/>
    <n v="579"/>
    <n v="4894"/>
    <n v="9163"/>
    <n v="8096"/>
    <n v="932"/>
    <n v="135"/>
  </r>
  <r>
    <x v="0"/>
    <x v="5"/>
    <n v="51091"/>
    <n v="36783"/>
    <n v="27449"/>
    <n v="7486"/>
    <n v="1262"/>
    <n v="46"/>
    <n v="540"/>
    <n v="5144"/>
    <n v="9164"/>
    <n v="8070"/>
    <n v="965"/>
    <n v="129"/>
  </r>
  <r>
    <x v="0"/>
    <x v="6"/>
    <n v="49301"/>
    <n v="35518"/>
    <n v="26645"/>
    <n v="7081"/>
    <n v="1133"/>
    <n v="56"/>
    <n v="603"/>
    <n v="4906"/>
    <n v="8877"/>
    <n v="7837"/>
    <n v="936"/>
    <n v="104"/>
  </r>
  <r>
    <x v="0"/>
    <x v="7"/>
    <n v="43945"/>
    <n v="31193"/>
    <n v="23330"/>
    <n v="6359"/>
    <n v="944"/>
    <n v="35"/>
    <n v="525"/>
    <n v="4453"/>
    <n v="8299"/>
    <n v="7331"/>
    <n v="883"/>
    <n v="85"/>
  </r>
  <r>
    <x v="0"/>
    <x v="8"/>
    <n v="42589"/>
    <n v="30578"/>
    <n v="22979"/>
    <n v="6202"/>
    <n v="982"/>
    <n v="53"/>
    <n v="362"/>
    <n v="4265"/>
    <n v="7746"/>
    <n v="6826"/>
    <n v="839"/>
    <n v="81"/>
  </r>
  <r>
    <x v="0"/>
    <x v="9"/>
    <n v="44257"/>
    <n v="31676"/>
    <n v="23620"/>
    <n v="6496"/>
    <n v="1074"/>
    <n v="46"/>
    <n v="440"/>
    <n v="4608"/>
    <n v="7973"/>
    <n v="7025"/>
    <n v="849"/>
    <n v="99"/>
  </r>
  <r>
    <x v="0"/>
    <x v="10"/>
    <n v="43825"/>
    <n v="31479"/>
    <n v="23212"/>
    <n v="6689"/>
    <n v="977"/>
    <n v="57"/>
    <n v="544"/>
    <n v="4564"/>
    <n v="7782"/>
    <n v="6808"/>
    <n v="890"/>
    <n v="84"/>
  </r>
  <r>
    <x v="0"/>
    <x v="11"/>
    <n v="46087"/>
    <n v="33668"/>
    <n v="24944"/>
    <n v="7317"/>
    <n v="926"/>
    <n v="39"/>
    <n v="442"/>
    <n v="4566"/>
    <n v="7853"/>
    <n v="6779"/>
    <n v="941"/>
    <n v="133"/>
  </r>
  <r>
    <x v="0"/>
    <x v="12"/>
    <n v="46390"/>
    <n v="34529"/>
    <n v="25132"/>
    <n v="8058"/>
    <n v="852"/>
    <n v="51"/>
    <n v="436"/>
    <n v="4036"/>
    <n v="7825"/>
    <n v="6745"/>
    <n v="948"/>
    <n v="132"/>
  </r>
  <r>
    <x v="0"/>
    <x v="13"/>
    <n v="47087"/>
    <n v="35508"/>
    <n v="25808"/>
    <n v="8306"/>
    <n v="911"/>
    <n v="54"/>
    <n v="429"/>
    <n v="3662"/>
    <n v="7917"/>
    <n v="6870"/>
    <n v="911"/>
    <n v="136"/>
  </r>
  <r>
    <x v="0"/>
    <x v="14"/>
    <n v="45582"/>
    <n v="34946"/>
    <n v="25063"/>
    <n v="8551"/>
    <n v="858"/>
    <n v="50"/>
    <n v="424"/>
    <n v="3141"/>
    <n v="7495"/>
    <n v="6556"/>
    <n v="832"/>
    <n v="107"/>
  </r>
  <r>
    <x v="0"/>
    <x v="15"/>
    <n v="44599"/>
    <n v="33890"/>
    <n v="24092"/>
    <n v="8601"/>
    <n v="705"/>
    <n v="32"/>
    <n v="460"/>
    <n v="3244"/>
    <n v="7465"/>
    <n v="6482"/>
    <n v="859"/>
    <n v="124"/>
  </r>
  <r>
    <x v="0"/>
    <x v="16"/>
    <n v="41508"/>
    <n v="31934"/>
    <n v="22385"/>
    <n v="8391"/>
    <n v="661"/>
    <n v="31"/>
    <n v="466"/>
    <n v="2806"/>
    <n v="6768"/>
    <n v="5801"/>
    <n v="843"/>
    <n v="124"/>
  </r>
  <r>
    <x v="0"/>
    <x v="17"/>
    <n v="39250"/>
    <n v="30485"/>
    <n v="21387"/>
    <n v="8098"/>
    <n v="585"/>
    <n v="28"/>
    <n v="387"/>
    <n v="2395"/>
    <n v="6370"/>
    <n v="5549"/>
    <n v="723"/>
    <n v="98"/>
  </r>
  <r>
    <x v="0"/>
    <x v="18"/>
    <n v="40150"/>
    <n v="31125"/>
    <n v="21566"/>
    <n v="8511"/>
    <n v="605"/>
    <n v="18"/>
    <n v="425"/>
    <n v="2449"/>
    <n v="6576"/>
    <n v="5649"/>
    <n v="816"/>
    <n v="111"/>
  </r>
  <r>
    <x v="0"/>
    <x v="19"/>
    <n v="40716"/>
    <n v="31998"/>
    <n v="21997"/>
    <n v="8904"/>
    <n v="670"/>
    <n v="18"/>
    <n v="409"/>
    <n v="2320"/>
    <n v="6398"/>
    <n v="5489"/>
    <n v="802"/>
    <n v="107"/>
  </r>
  <r>
    <x v="0"/>
    <x v="20"/>
    <n v="41817"/>
    <n v="33064"/>
    <n v="22423"/>
    <n v="9568"/>
    <n v="648"/>
    <n v="33"/>
    <n v="392"/>
    <n v="2227"/>
    <n v="6526"/>
    <n v="5584"/>
    <n v="833"/>
    <n v="109"/>
  </r>
  <r>
    <x v="0"/>
    <x v="21"/>
    <n v="42065"/>
    <n v="33534"/>
    <n v="22505"/>
    <n v="9932"/>
    <n v="621"/>
    <n v="21"/>
    <n v="455"/>
    <n v="2161"/>
    <n v="6368"/>
    <n v="5449"/>
    <n v="765"/>
    <n v="154"/>
  </r>
  <r>
    <x v="0"/>
    <x v="22"/>
    <n v="42013"/>
    <n v="33609"/>
    <n v="22199"/>
    <n v="10249"/>
    <n v="723"/>
    <n v="18"/>
    <n v="420"/>
    <n v="2116"/>
    <n v="6288"/>
    <n v="5321"/>
    <n v="814"/>
    <n v="153"/>
  </r>
  <r>
    <x v="0"/>
    <x v="23"/>
    <n v="41501"/>
    <n v="33088"/>
    <n v="21194"/>
    <n v="10705"/>
    <n v="742"/>
    <n v="38"/>
    <n v="409"/>
    <n v="2294"/>
    <n v="6119"/>
    <n v="5228"/>
    <n v="760"/>
    <n v="131"/>
  </r>
  <r>
    <x v="0"/>
    <x v="24"/>
    <n v="41717"/>
    <n v="33392"/>
    <n v="20862"/>
    <n v="11265"/>
    <n v="759"/>
    <n v="59"/>
    <n v="447"/>
    <n v="2483"/>
    <n v="5842"/>
    <n v="4939"/>
    <n v="754"/>
    <n v="149"/>
  </r>
  <r>
    <x v="0"/>
    <x v="25"/>
    <n v="41945"/>
    <n v="33451"/>
    <n v="20699"/>
    <n v="11526"/>
    <n v="754"/>
    <n v="22"/>
    <n v="450"/>
    <n v="2897"/>
    <n v="5597"/>
    <n v="4763"/>
    <n v="693"/>
    <n v="141"/>
  </r>
  <r>
    <x v="0"/>
    <x v="26"/>
    <n v="42196"/>
    <n v="33243"/>
    <n v="20320"/>
    <n v="11723"/>
    <n v="708"/>
    <n v="34"/>
    <n v="458"/>
    <n v="3197"/>
    <n v="5756"/>
    <n v="4901"/>
    <n v="732"/>
    <n v="123"/>
  </r>
  <r>
    <x v="0"/>
    <x v="27"/>
    <n v="43005"/>
    <n v="34105"/>
    <n v="20569"/>
    <n v="12274"/>
    <n v="689"/>
    <n v="45"/>
    <n v="528"/>
    <n v="3270"/>
    <n v="5630"/>
    <n v="4851"/>
    <n v="665"/>
    <n v="114"/>
  </r>
  <r>
    <x v="0"/>
    <x v="28"/>
    <n v="42884"/>
    <n v="33627"/>
    <n v="19725"/>
    <n v="12546"/>
    <n v="726"/>
    <n v="41"/>
    <n v="589"/>
    <n v="3714"/>
    <n v="5543"/>
    <n v="4774"/>
    <n v="629"/>
    <n v="140"/>
  </r>
  <r>
    <x v="0"/>
    <x v="29"/>
    <n v="42836"/>
    <n v="33276"/>
    <n v="19192"/>
    <n v="12674"/>
    <n v="766"/>
    <n v="42"/>
    <n v="602"/>
    <n v="4028"/>
    <n v="5532"/>
    <n v="4675"/>
    <n v="727"/>
    <n v="130"/>
  </r>
  <r>
    <x v="0"/>
    <x v="30"/>
    <n v="43510"/>
    <n v="33070"/>
    <n v="18512"/>
    <n v="13037"/>
    <n v="804"/>
    <n v="58"/>
    <n v="659"/>
    <n v="4576"/>
    <n v="5864"/>
    <n v="4892"/>
    <n v="786"/>
    <n v="186"/>
  </r>
  <r>
    <x v="0"/>
    <x v="31"/>
    <n v="42708"/>
    <n v="32119"/>
    <n v="17925"/>
    <n v="12761"/>
    <n v="805"/>
    <n v="27"/>
    <n v="601"/>
    <n v="4837"/>
    <n v="5752"/>
    <n v="4795"/>
    <n v="772"/>
    <n v="185"/>
  </r>
  <r>
    <x v="0"/>
    <x v="32"/>
    <n v="41259"/>
    <n v="30527"/>
    <n v="16614"/>
    <n v="12458"/>
    <n v="805"/>
    <n v="36"/>
    <n v="614"/>
    <n v="5174"/>
    <n v="5558"/>
    <n v="4699"/>
    <n v="701"/>
    <n v="158"/>
  </r>
  <r>
    <x v="0"/>
    <x v="33"/>
    <n v="37423"/>
    <n v="26791"/>
    <n v="14646"/>
    <n v="10816"/>
    <n v="682"/>
    <n v="67"/>
    <n v="580"/>
    <n v="5312"/>
    <n v="5320"/>
    <n v="4414"/>
    <n v="718"/>
    <n v="188"/>
  </r>
  <r>
    <x v="0"/>
    <x v="34"/>
    <n v="33808"/>
    <n v="24474"/>
    <n v="13095"/>
    <n v="10287"/>
    <n v="503"/>
    <n v="26"/>
    <n v="563"/>
    <n v="4462"/>
    <n v="4872"/>
    <n v="4092"/>
    <n v="630"/>
    <n v="150"/>
  </r>
  <r>
    <x v="1"/>
    <x v="13"/>
    <n v="3416000"/>
    <n v="3119000"/>
    <n v="2585000"/>
    <n v="478000"/>
    <n v="37000"/>
    <n v="15000"/>
    <n v="4000"/>
    <n v="105000"/>
    <n v="192000"/>
    <n v="110000"/>
    <n v="75000"/>
    <n v="8000"/>
  </r>
  <r>
    <x v="1"/>
    <x v="14"/>
    <n v="3284000"/>
    <n v="3005000"/>
    <n v="2431000"/>
    <n v="511000"/>
    <n v="43000"/>
    <n v="15000"/>
    <n v="5000"/>
    <n v="83000"/>
    <n v="196000"/>
    <n v="112000"/>
    <n v="73000"/>
    <n v="11000"/>
  </r>
  <r>
    <x v="1"/>
    <x v="15"/>
    <n v="3231000"/>
    <n v="2960000"/>
    <n v="2376000"/>
    <n v="505000"/>
    <n v="42000"/>
    <n v="33000"/>
    <n v="4000"/>
    <n v="84000"/>
    <n v="187000"/>
    <n v="105000"/>
    <n v="75000"/>
    <n v="7000"/>
  </r>
  <r>
    <x v="1"/>
    <x v="16"/>
    <n v="3097000"/>
    <n v="2851000"/>
    <n v="2235000"/>
    <n v="563000"/>
    <n v="28000"/>
    <n v="21000"/>
    <n v="4000"/>
    <n v="80000"/>
    <n v="166000"/>
    <n v="88000"/>
    <n v="67000"/>
    <n v="11000"/>
  </r>
  <r>
    <x v="1"/>
    <x v="17"/>
    <n v="3070000"/>
    <n v="2843000"/>
    <n v="2232000"/>
    <n v="545000"/>
    <n v="34000"/>
    <n v="20000"/>
    <n v="12000"/>
    <n v="65000"/>
    <n v="162000"/>
    <n v="89000"/>
    <n v="63000"/>
    <n v="10000"/>
  </r>
  <r>
    <x v="1"/>
    <x v="18"/>
    <n v="3149000"/>
    <n v="2919000"/>
    <n v="2265000"/>
    <n v="601000"/>
    <n v="32000"/>
    <n v="17000"/>
    <n v="4000"/>
    <n v="59000"/>
    <n v="171000"/>
    <n v="94000"/>
    <n v="68000"/>
    <n v="9000"/>
  </r>
  <r>
    <x v="1"/>
    <x v="19"/>
    <n v="3266000"/>
    <n v="3045000"/>
    <n v="2364000"/>
    <n v="631000"/>
    <n v="30000"/>
    <n v="16000"/>
    <n v="4000"/>
    <n v="57000"/>
    <n v="164000"/>
    <n v="92000"/>
    <n v="62000"/>
    <n v="9000"/>
  </r>
  <r>
    <x v="1"/>
    <x v="20"/>
    <n v="3465000"/>
    <n v="3246000"/>
    <n v="2469000"/>
    <n v="722000"/>
    <n v="30000"/>
    <n v="19000"/>
    <n v="4000"/>
    <n v="57000"/>
    <n v="162000"/>
    <n v="86000"/>
    <n v="67000"/>
    <n v="10000"/>
  </r>
  <r>
    <x v="1"/>
    <x v="21"/>
    <n v="3483000"/>
    <n v="3277000"/>
    <n v="2458000"/>
    <n v="761000"/>
    <n v="33000"/>
    <n v="20000"/>
    <n v="4000"/>
    <n v="55000"/>
    <n v="151000"/>
    <n v="82000"/>
    <n v="58000"/>
    <n v="11000"/>
  </r>
  <r>
    <x v="1"/>
    <x v="22"/>
    <n v="3348000"/>
    <n v="3149000"/>
    <n v="2341000"/>
    <n v="755000"/>
    <n v="31000"/>
    <n v="17000"/>
    <n v="6000"/>
    <n v="53000"/>
    <n v="146000"/>
    <n v="77000"/>
    <n v="58000"/>
    <n v="11000"/>
  </r>
  <r>
    <x v="1"/>
    <x v="23"/>
    <n v="3192000"/>
    <n v="3012000"/>
    <n v="2201000"/>
    <n v="763000"/>
    <n v="29000"/>
    <n v="16000"/>
    <n v="4000"/>
    <n v="49000"/>
    <n v="131000"/>
    <n v="69000"/>
    <n v="53000"/>
    <n v="8000"/>
  </r>
  <r>
    <x v="1"/>
    <x v="24"/>
    <n v="3236000"/>
    <n v="3047000"/>
    <n v="2138000"/>
    <n v="847000"/>
    <n v="33000"/>
    <n v="22000"/>
    <n v="7000"/>
    <n v="50000"/>
    <n v="140000"/>
    <n v="85000"/>
    <n v="51000"/>
    <n v="3000"/>
  </r>
  <r>
    <x v="1"/>
    <x v="25"/>
    <n v="3189000"/>
    <n v="2997000"/>
    <n v="2052000"/>
    <n v="887000"/>
    <n v="31000"/>
    <n v="18000"/>
    <n v="10000"/>
    <n v="58000"/>
    <n v="134000"/>
    <n v="78000"/>
    <n v="51000"/>
    <n v="5000"/>
  </r>
  <r>
    <x v="1"/>
    <x v="26"/>
    <n v="3033000"/>
    <n v="2841000"/>
    <n v="1927000"/>
    <n v="861000"/>
    <n v="29000"/>
    <n v="15000"/>
    <n v="9000"/>
    <n v="60000"/>
    <n v="131000"/>
    <n v="78000"/>
    <n v="45000"/>
    <n v="8000"/>
  </r>
  <r>
    <x v="1"/>
    <x v="27"/>
    <n v="2926000"/>
    <n v="2735000"/>
    <n v="1805000"/>
    <n v="879000"/>
    <n v="26000"/>
    <n v="19000"/>
    <n v="6000"/>
    <n v="65000"/>
    <n v="126000"/>
    <n v="71000"/>
    <n v="48000"/>
    <n v="7000"/>
  </r>
  <r>
    <x v="1"/>
    <x v="28"/>
    <n v="2888601"/>
    <n v="2697324"/>
    <n v="1756495"/>
    <n v="889048"/>
    <n v="26893"/>
    <n v="18174"/>
    <n v="6714"/>
    <n v="67103"/>
    <n v="124174"/>
    <n v="69949"/>
    <n v="46378"/>
    <n v="7847"/>
  </r>
  <r>
    <x v="1"/>
    <x v="29"/>
    <n v="2788378"/>
    <n v="2593679"/>
    <n v="1642549"/>
    <n v="900171"/>
    <n v="27287"/>
    <n v="16410"/>
    <n v="7262"/>
    <n v="76379"/>
    <n v="118320"/>
    <n v="67985"/>
    <n v="41086"/>
    <n v="9249"/>
  </r>
  <r>
    <x v="1"/>
    <x v="30"/>
    <n v="2699000"/>
    <n v="2494000"/>
    <n v="1573000"/>
    <n v="872000"/>
    <n v="27000"/>
    <n v="11000"/>
    <n v="10000"/>
    <n v="87000"/>
    <n v="118000"/>
    <n v="64000"/>
    <n v="45000"/>
    <n v="8000"/>
  </r>
  <r>
    <x v="1"/>
    <x v="31"/>
    <n v="2575000"/>
    <n v="2375000"/>
    <n v="1475000"/>
    <n v="857000"/>
    <n v="23000"/>
    <n v="10000"/>
    <n v="11000"/>
    <n v="88000"/>
    <n v="112000"/>
    <n v="61000"/>
    <n v="44000"/>
    <n v="7000"/>
  </r>
  <r>
    <x v="1"/>
    <x v="32"/>
    <n v="2491000"/>
    <n v="2264000"/>
    <n v="1379000"/>
    <n v="841000"/>
    <n v="23000"/>
    <n v="12000"/>
    <n v="8000"/>
    <n v="103000"/>
    <n v="124000"/>
    <n v="70000"/>
    <n v="43000"/>
    <n v="10000"/>
  </r>
  <r>
    <x v="1"/>
    <x v="33"/>
    <n v="2345737"/>
    <n v="2119788"/>
    <n v="1304006"/>
    <n v="768410"/>
    <n v="22947"/>
    <n v="15149"/>
    <n v="9276"/>
    <n v="95986"/>
    <n v="129961.99999999999"/>
    <n v="68832"/>
    <n v="52395"/>
    <n v="8735"/>
  </r>
  <r>
    <x v="1"/>
    <x v="34"/>
    <n v="2217275"/>
    <n v="2011362"/>
    <n v="1216478"/>
    <n v="759258"/>
    <n v="16569"/>
    <n v="12059"/>
    <n v="6998"/>
    <n v="89607"/>
    <n v="116306"/>
    <n v="58647"/>
    <n v="50685"/>
    <n v="697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n v="36254"/>
    <n v="21596"/>
    <n v="10294"/>
    <n v="108"/>
    <n v="5489"/>
    <n v="802"/>
    <n v="107"/>
    <n v="2358"/>
    <n v="260327"/>
    <n v="192497"/>
    <n v="175403"/>
    <n v="30273"/>
    <n v="16353"/>
    <n v="4644"/>
    <n v="2339"/>
    <n v="21997"/>
    <n v="8904"/>
    <n v="670"/>
    <n v="18"/>
    <n v="409"/>
    <n v="2320"/>
    <n v="5489"/>
    <n v="802"/>
    <n v="107"/>
    <n v="4870"/>
    <n v="2409"/>
    <n v="1063"/>
    <n v="610"/>
    <n v="29"/>
    <n v="5574"/>
    <n v="1757"/>
    <n v="1508"/>
    <n v="65"/>
  </r>
  <r>
    <x v="1"/>
    <n v="37241"/>
    <n v="22370"/>
    <n v="10576"/>
    <n v="118"/>
    <n v="5584"/>
    <n v="833"/>
    <n v="109"/>
    <n v="2423"/>
    <n v="262803"/>
    <n v="197065"/>
    <n v="176628"/>
    <n v="30940"/>
    <n v="17587"/>
    <n v="4472"/>
    <n v="2268"/>
    <n v="22423"/>
    <n v="9568"/>
    <n v="648"/>
    <n v="33"/>
    <n v="392"/>
    <n v="2227"/>
    <n v="5584"/>
    <n v="833"/>
    <n v="109"/>
    <n v="5076"/>
    <n v="2571"/>
    <n v="1210"/>
    <n v="650"/>
    <n v="30"/>
    <n v="5938"/>
    <n v="1935"/>
    <n v="1639"/>
    <n v="56"/>
  </r>
  <r>
    <x v="2"/>
    <n v="37494"/>
    <n v="22572"/>
    <n v="10860"/>
    <n v="102"/>
    <n v="5449"/>
    <n v="765"/>
    <n v="154"/>
    <n v="2484"/>
    <n v="265229"/>
    <n v="201631"/>
    <n v="179539"/>
    <n v="30727"/>
    <n v="18246"/>
    <n v="4755"/>
    <n v="2176"/>
    <n v="22505"/>
    <n v="9932"/>
    <n v="621"/>
    <n v="21"/>
    <n v="455"/>
    <n v="2161"/>
    <n v="5449"/>
    <n v="765"/>
    <n v="154"/>
    <n v="4997"/>
    <n v="2545"/>
    <n v="1384"/>
    <n v="681"/>
    <n v="17"/>
    <n v="5904"/>
    <n v="2147"/>
    <n v="1832"/>
    <n v="49"/>
  </r>
  <r>
    <x v="3"/>
    <n v="37324"/>
    <n v="22730"/>
    <n v="10765"/>
    <n v="114"/>
    <n v="5321"/>
    <n v="814"/>
    <n v="153"/>
    <n v="2552"/>
    <n v="267784"/>
    <n v="203568"/>
    <n v="182709"/>
    <n v="30059"/>
    <n v="18628"/>
    <n v="4917"/>
    <n v="2160"/>
    <n v="22199"/>
    <n v="10249"/>
    <n v="723"/>
    <n v="18"/>
    <n v="420"/>
    <n v="2116"/>
    <n v="5321"/>
    <n v="814"/>
    <n v="153"/>
    <n v="4765"/>
    <n v="2479"/>
    <n v="1489"/>
    <n v="768"/>
    <n v="26"/>
    <n v="5887"/>
    <n v="2380"/>
    <n v="1914"/>
    <n v="68"/>
  </r>
  <r>
    <x v="4"/>
    <n v="37107"/>
    <n v="22654"/>
    <n v="10327"/>
    <n v="107"/>
    <n v="5228"/>
    <n v="760"/>
    <n v="131"/>
    <n v="2628"/>
    <n v="270248"/>
    <n v="208076"/>
    <n v="184861"/>
    <n v="29040"/>
    <n v="19363"/>
    <n v="4955"/>
    <n v="2334"/>
    <n v="21194"/>
    <n v="10705"/>
    <n v="742"/>
    <n v="38"/>
    <n v="409"/>
    <n v="2294"/>
    <n v="5228"/>
    <n v="760"/>
    <n v="131"/>
    <n v="4672"/>
    <n v="2560"/>
    <n v="1705"/>
    <n v="823"/>
    <n v="13"/>
    <n v="5921"/>
    <n v="2713"/>
    <n v="2042"/>
    <n v="29"/>
  </r>
  <r>
    <x v="5"/>
    <n v="37140"/>
    <n v="22971"/>
    <n v="10325"/>
    <n v="96"/>
    <n v="4939"/>
    <n v="754"/>
    <n v="149"/>
    <n v="2690"/>
    <n v="272691"/>
    <n v="212685"/>
    <n v="187170"/>
    <n v="28027"/>
    <n v="19959"/>
    <n v="4920"/>
    <n v="2532"/>
    <n v="20862"/>
    <n v="11265"/>
    <n v="759"/>
    <n v="59"/>
    <n v="447"/>
    <n v="2483"/>
    <n v="4939"/>
    <n v="754"/>
    <n v="149"/>
    <n v="4718"/>
    <n v="2724"/>
    <n v="1902"/>
    <n v="784"/>
    <n v="12"/>
    <n v="6127"/>
    <n v="3026"/>
    <n v="2088"/>
    <n v="24"/>
  </r>
  <r>
    <x v="6"/>
    <n v="37526"/>
    <n v="22914"/>
    <n v="10451"/>
    <n v="86"/>
    <n v="4763"/>
    <n v="693"/>
    <n v="141"/>
    <n v="2747"/>
    <n v="282162"/>
    <n v="217993"/>
    <n v="190625"/>
    <n v="27802"/>
    <n v="20498"/>
    <n v="4995"/>
    <n v="2975"/>
    <n v="20699"/>
    <n v="11526"/>
    <n v="754"/>
    <n v="22"/>
    <n v="450"/>
    <n v="2897"/>
    <n v="4763"/>
    <n v="693"/>
    <n v="141"/>
    <n v="4548"/>
    <n v="2558"/>
    <n v="2064"/>
    <n v="771"/>
    <n v="18"/>
    <n v="6003"/>
    <n v="3358"/>
    <n v="2129"/>
    <n v="36"/>
  </r>
  <r>
    <x v="7"/>
    <n v="37862"/>
    <n v="22914"/>
    <n v="10227"/>
    <n v="102"/>
    <n v="4901"/>
    <n v="732"/>
    <n v="123"/>
    <n v="2796"/>
    <n v="284969"/>
    <n v="221230"/>
    <n v="191276"/>
    <n v="27586"/>
    <n v="20831"/>
    <n v="4823"/>
    <n v="3265"/>
    <n v="20320"/>
    <n v="11723"/>
    <n v="708"/>
    <n v="34"/>
    <n v="458"/>
    <n v="3197"/>
    <n v="4901"/>
    <n v="732"/>
    <n v="123"/>
    <n v="4559"/>
    <n v="2651"/>
    <n v="2149"/>
    <n v="786"/>
    <n v="12"/>
    <n v="6139"/>
    <n v="3530"/>
    <n v="2019"/>
    <n v="35"/>
  </r>
  <r>
    <x v="8"/>
    <n v="38491"/>
    <n v="23625"/>
    <n v="10370"/>
    <n v="110"/>
    <n v="4851"/>
    <n v="665"/>
    <n v="114"/>
    <n v="2856"/>
    <n v="287625"/>
    <n v="227136"/>
    <n v="194602"/>
    <n v="27374"/>
    <n v="21668"/>
    <n v="4587"/>
    <n v="3365"/>
    <n v="20569"/>
    <n v="12274"/>
    <n v="689"/>
    <n v="45"/>
    <n v="528"/>
    <n v="3270"/>
    <n v="4851"/>
    <n v="665"/>
    <n v="114"/>
    <n v="4794"/>
    <n v="2755"/>
    <n v="2471"/>
    <n v="699"/>
    <n v="10"/>
    <n v="6100"/>
    <n v="4031"/>
    <n v="2109"/>
    <n v="34"/>
  </r>
  <r>
    <x v="9"/>
    <n v="38477"/>
    <n v="23352"/>
    <n v="10171"/>
    <n v="104"/>
    <n v="4774"/>
    <n v="629"/>
    <n v="140"/>
    <n v="2890"/>
    <n v="290108"/>
    <n v="232326"/>
    <n v="196166"/>
    <n v="26562"/>
    <n v="22299"/>
    <n v="4721"/>
    <n v="3802"/>
    <n v="19725"/>
    <n v="12546"/>
    <n v="726"/>
    <n v="41"/>
    <n v="589"/>
    <n v="3714"/>
    <n v="4774"/>
    <n v="629"/>
    <n v="140"/>
    <n v="4464"/>
    <n v="2580"/>
    <n v="2661"/>
    <n v="728"/>
    <n v="9"/>
    <n v="5957"/>
    <n v="4483"/>
    <n v="2080"/>
    <n v="26"/>
  </r>
  <r>
    <x v="10"/>
    <n v="38444"/>
    <n v="23158"/>
    <n v="10042"/>
    <n v="76"/>
    <n v="4675"/>
    <n v="727"/>
    <n v="130"/>
    <n v="2965"/>
    <n v="292805"/>
    <n v="239364"/>
    <n v="198889"/>
    <n v="25682"/>
    <n v="22486"/>
    <n v="4902"/>
    <n v="4121"/>
    <n v="19192"/>
    <n v="12674"/>
    <n v="766"/>
    <n v="42"/>
    <n v="602"/>
    <n v="4028"/>
    <n v="4675"/>
    <n v="727"/>
    <n v="130"/>
    <n v="4353"/>
    <n v="2597"/>
    <n v="2929"/>
    <n v="695"/>
    <n v="16"/>
    <n v="5838"/>
    <n v="4760"/>
    <n v="2046"/>
    <n v="30"/>
  </r>
  <r>
    <x v="11"/>
    <n v="39252"/>
    <n v="23237"/>
    <n v="9750"/>
    <n v="83"/>
    <n v="4892"/>
    <n v="786"/>
    <n v="186"/>
    <n v="2989"/>
    <n v="295517"/>
    <n v="247031"/>
    <n v="200549"/>
    <n v="25169"/>
    <n v="22964"/>
    <n v="4951"/>
    <n v="4682"/>
    <n v="18512"/>
    <n v="13037"/>
    <n v="804"/>
    <n v="58"/>
    <n v="659"/>
    <n v="4576"/>
    <n v="4892"/>
    <n v="786"/>
    <n v="186"/>
    <n v="4371"/>
    <n v="2796"/>
    <n v="2895"/>
    <n v="794"/>
    <n v="14"/>
    <n v="6067"/>
    <n v="4831"/>
    <n v="2112"/>
    <n v="27"/>
  </r>
  <r>
    <x v="12"/>
    <n v="38648"/>
    <n v="22831"/>
    <n v="9187"/>
    <n v="101"/>
    <n v="4795"/>
    <n v="772"/>
    <n v="185"/>
    <n v="3014"/>
    <n v="298380"/>
    <n v="252930"/>
    <n v="202810"/>
    <n v="24260"/>
    <n v="22411"/>
    <n v="4766"/>
    <n v="4963"/>
    <n v="17925"/>
    <n v="12761"/>
    <n v="805"/>
    <n v="27"/>
    <n v="601"/>
    <n v="4837"/>
    <n v="4795"/>
    <n v="772"/>
    <n v="185"/>
    <n v="4376"/>
    <n v="2844"/>
    <n v="2899"/>
    <n v="609"/>
    <n v="14"/>
    <n v="5993"/>
    <n v="4928"/>
    <n v="1815"/>
    <n v="25"/>
  </r>
  <r>
    <x v="13"/>
    <n v="37435"/>
    <n v="21717"/>
    <n v="8716"/>
    <n v="94"/>
    <n v="4699"/>
    <n v="701"/>
    <n v="158"/>
    <n v="3031"/>
    <n v="301231"/>
    <n v="257472"/>
    <n v="205742"/>
    <n v="22856"/>
    <n v="21810"/>
    <n v="4633"/>
    <n v="5306"/>
    <n v="16614"/>
    <n v="12458"/>
    <n v="805"/>
    <n v="36"/>
    <n v="614"/>
    <n v="5174"/>
    <n v="4699"/>
    <n v="701"/>
    <n v="158"/>
    <n v="4055"/>
    <n v="2748"/>
    <n v="2861"/>
    <n v="572"/>
    <n v="4"/>
    <n v="5847"/>
    <n v="4834"/>
    <n v="1764"/>
    <n v="13"/>
  </r>
  <r>
    <x v="14"/>
    <n v="34172"/>
    <n v="19279"/>
    <n v="7441"/>
    <n v="71"/>
    <n v="4414"/>
    <n v="718"/>
    <n v="188"/>
    <n v="2977"/>
    <n v="304094"/>
    <n v="259360"/>
    <n v="208321"/>
    <n v="20474"/>
    <n v="19179"/>
    <n v="4089"/>
    <n v="5409"/>
    <n v="14646"/>
    <n v="10816"/>
    <n v="682"/>
    <n v="67"/>
    <n v="580"/>
    <n v="5312"/>
    <n v="4414"/>
    <n v="718"/>
    <n v="188"/>
    <n v="3653"/>
    <n v="2435"/>
    <n v="2435"/>
    <n v="514"/>
    <n v="6"/>
    <n v="5097"/>
    <n v="4214"/>
    <n v="1492"/>
    <n v="13"/>
  </r>
  <r>
    <x v="15"/>
    <n v="30862"/>
    <n v="17670"/>
    <n v="6793"/>
    <n v="63"/>
    <n v="4109"/>
    <n v="628"/>
    <n v="151"/>
    <n v="2957"/>
    <n v="306772"/>
    <n v="258958"/>
    <n v="209618"/>
    <n v="18413"/>
    <n v="17958"/>
    <n v="3211"/>
    <n v="4603"/>
    <n v="13135"/>
    <n v="10312"/>
    <n v="499"/>
    <n v="26"/>
    <n v="554"/>
    <n v="4469"/>
    <n v="4109"/>
    <n v="628"/>
    <n v="151"/>
    <n v="3230"/>
    <n v="2295"/>
    <n v="2303"/>
    <n v="457"/>
    <n v="6"/>
    <n v="4801"/>
    <n v="4104"/>
    <n v="1396"/>
    <n v="11"/>
  </r>
  <r>
    <x v="16"/>
    <n v="30296"/>
    <n v="16864"/>
    <n v="6451"/>
    <n v="56"/>
    <n v="4302"/>
    <n v="623"/>
    <n v="185"/>
    <n v="2967"/>
    <n v="309326"/>
    <n v="257312"/>
    <n v="210115"/>
    <n v="17804"/>
    <n v="17491"/>
    <n v="3494"/>
    <n v="4651"/>
    <n v="12491"/>
    <n v="9782"/>
    <n v="530"/>
    <n v="44"/>
    <n v="524"/>
    <n v="4518"/>
    <n v="4302"/>
    <n v="623"/>
    <n v="185"/>
    <n v="2933"/>
    <n v="2098"/>
    <n v="2264"/>
    <n v="413"/>
    <n v="2"/>
    <n v="4486"/>
    <n v="3942"/>
    <n v="1346"/>
    <n v="8"/>
  </r>
  <r>
    <x v="17"/>
    <n v="29867"/>
    <n v="16474"/>
    <n v="5972"/>
    <n v="64"/>
    <n v="4457"/>
    <n v="682"/>
    <n v="200"/>
    <n v="2950"/>
    <n v="311588"/>
    <n v="265043"/>
    <n v="211875"/>
    <n v="17508"/>
    <n v="16806"/>
    <n v="3633"/>
    <n v="4769"/>
    <n v="12014"/>
    <n v="9302"/>
    <n v="640"/>
    <n v="55"/>
    <n v="499"/>
    <n v="4630"/>
    <n v="4457"/>
    <n v="682"/>
    <n v="200"/>
    <n v="2849"/>
    <n v="1993"/>
    <n v="2172"/>
    <n v="375"/>
    <n v="11"/>
    <n v="4270"/>
    <n v="3884"/>
    <n v="1128"/>
    <n v="20"/>
  </r>
  <r>
    <x v="18"/>
    <n v="30800"/>
    <n v="16769"/>
    <n v="6061"/>
    <n v="82"/>
    <n v="4743"/>
    <n v="726"/>
    <n v="223"/>
    <n v="2969"/>
    <n v="313914"/>
    <n v="265647"/>
    <n v="211815"/>
    <n v="18092"/>
    <n v="17254"/>
    <n v="3802"/>
    <n v="5080"/>
    <n v="12271"/>
    <n v="9396"/>
    <n v="697"/>
    <n v="39"/>
    <n v="509"/>
    <n v="4957"/>
    <n v="4743"/>
    <n v="726"/>
    <n v="223"/>
    <n v="3009"/>
    <n v="2004"/>
    <n v="2157"/>
    <n v="327"/>
    <n v="3"/>
    <n v="4332"/>
    <n v="3875"/>
    <n v="1167"/>
    <n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 chartFormat="28">
  <location ref="A3:B24" firstHeaderRow="2" firstDataRow="2" firstDataCol="1"/>
  <pivotFields count="42">
    <pivotField axis="axisRow" compact="0" outline="0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numFmtId="3" outline="0" showAll="0"/>
    <pivotField compact="0" numFmtId="3" outline="0" showAll="0" defaultSubtotal="0"/>
    <pivotField compact="0" numFmtId="3" outline="0" showAll="0" defaultSubtotal="0"/>
    <pivotField compact="0" outline="0" showAll="0" defaultSubtotal="0"/>
    <pivotField compact="0" numFmtId="3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Rollover Fatality Rates - Light Trucks Pickup" fld="41" baseField="0" baseItem="0" numFmtId="3"/>
  </dataFields>
  <chartFormats count="3">
    <chartFormat chart="18" format="9" series="1">
      <pivotArea type="data" outline="0" fieldPosition="0"/>
    </chartFormat>
    <chartFormat chart="1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 chartFormat="2">
  <location ref="P9:S27" firstHeaderRow="1" firstDataRow="2" firstDataCol="1"/>
  <pivotFields count="14">
    <pivotField axis="axisCol" compact="0" outline="0" showAll="0">
      <items count="3">
        <item x="1"/>
        <item x="0"/>
        <item t="default"/>
      </items>
    </pivotField>
    <pivotField axis="axisRow" compact="0" outline="0" showAll="0" sortType="ascending">
      <items count="3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compact="0" numFmtId="3" outline="0" showAll="0"/>
    <pivotField dataField="1"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 of Occupants - Total" fld="3" baseField="0" baseItem="0" numFmtId="3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-nrd.nhtsa.dot.gov/CATS/index.asp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24"/>
  <sheetViews>
    <sheetView tabSelected="1" workbookViewId="0">
      <selection activeCell="C22" sqref="C22"/>
    </sheetView>
  </sheetViews>
  <sheetFormatPr defaultRowHeight="15"/>
  <cols>
    <col min="1" max="1" width="46.7109375" customWidth="1"/>
    <col min="2" max="2" width="5.42578125" customWidth="1"/>
    <col min="3" max="3" width="12.28515625" customWidth="1"/>
    <col min="4" max="8" width="9" customWidth="1"/>
  </cols>
  <sheetData>
    <row r="1" spans="1:4">
      <c r="D1" s="3" t="str">
        <f>MID(A3,8,50)</f>
        <v>Rollover Fatality Rates - Light Trucks Pickup</v>
      </c>
    </row>
    <row r="3" spans="1:4">
      <c r="A3" s="1" t="s">
        <v>111</v>
      </c>
    </row>
    <row r="4" spans="1:4">
      <c r="A4" s="1" t="s">
        <v>11</v>
      </c>
      <c r="B4" t="s">
        <v>1</v>
      </c>
    </row>
    <row r="5" spans="1:4">
      <c r="A5">
        <v>1994</v>
      </c>
      <c r="B5" s="2">
        <v>0.43218514531754576</v>
      </c>
    </row>
    <row r="6" spans="1:4">
      <c r="A6">
        <v>1995</v>
      </c>
      <c r="B6" s="2">
        <v>0.43297406534186594</v>
      </c>
    </row>
    <row r="7" spans="1:4">
      <c r="A7">
        <v>1996</v>
      </c>
      <c r="B7" s="2">
        <v>0.43106368563685638</v>
      </c>
    </row>
    <row r="8" spans="1:4">
      <c r="A8">
        <v>1997</v>
      </c>
      <c r="B8" s="2">
        <v>0.42109733310684561</v>
      </c>
    </row>
    <row r="9" spans="1:4">
      <c r="A9">
        <v>1998</v>
      </c>
      <c r="B9" s="2">
        <v>0.43235939875021112</v>
      </c>
    </row>
    <row r="10" spans="1:4">
      <c r="A10">
        <v>1999</v>
      </c>
      <c r="B10" s="2">
        <v>0.44458952178880368</v>
      </c>
    </row>
    <row r="11" spans="1:4">
      <c r="A11">
        <v>2000</v>
      </c>
      <c r="B11" s="2">
        <v>0.42612027319673496</v>
      </c>
    </row>
    <row r="12" spans="1:4">
      <c r="A12">
        <v>2001</v>
      </c>
      <c r="B12" s="2">
        <v>0.4318292881576804</v>
      </c>
    </row>
    <row r="13" spans="1:4">
      <c r="A13">
        <v>2002</v>
      </c>
      <c r="B13" s="2">
        <v>0.45163934426229507</v>
      </c>
    </row>
    <row r="14" spans="1:4">
      <c r="A14">
        <v>2003</v>
      </c>
      <c r="B14" s="2">
        <v>0.43310391136478094</v>
      </c>
    </row>
    <row r="15" spans="1:4">
      <c r="A15">
        <v>2004</v>
      </c>
      <c r="B15" s="2">
        <v>0.44484412470023982</v>
      </c>
    </row>
    <row r="16" spans="1:4">
      <c r="A16">
        <v>2005</v>
      </c>
      <c r="B16" s="2">
        <v>0.46085379924179992</v>
      </c>
    </row>
    <row r="17" spans="1:2">
      <c r="A17">
        <v>2006</v>
      </c>
      <c r="B17" s="2">
        <v>0.4745536459202403</v>
      </c>
    </row>
    <row r="18" spans="1:2">
      <c r="A18">
        <v>2007</v>
      </c>
      <c r="B18" s="2">
        <v>0.46998460749102106</v>
      </c>
    </row>
    <row r="19" spans="1:2">
      <c r="A19">
        <v>2008</v>
      </c>
      <c r="B19" s="2">
        <v>0.47773199921522463</v>
      </c>
    </row>
    <row r="20" spans="1:2">
      <c r="A20">
        <v>2009</v>
      </c>
      <c r="B20" s="2">
        <v>0.47802541137263072</v>
      </c>
    </row>
    <row r="21" spans="1:2">
      <c r="A21">
        <v>2010</v>
      </c>
      <c r="B21" s="2">
        <v>0.46767721801159162</v>
      </c>
    </row>
    <row r="22" spans="1:2">
      <c r="A22">
        <v>2011</v>
      </c>
      <c r="B22" s="2">
        <v>0.46674473067915689</v>
      </c>
    </row>
    <row r="23" spans="1:2">
      <c r="A23">
        <v>2012</v>
      </c>
      <c r="B23" s="2">
        <v>0.46260387811634351</v>
      </c>
    </row>
    <row r="24" spans="1:2">
      <c r="A24" t="s">
        <v>0</v>
      </c>
      <c r="B24" s="2">
        <v>0.44826450635579268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H20"/>
  <sheetViews>
    <sheetView topLeftCell="O1" workbookViewId="0">
      <selection activeCell="AE6" sqref="AE6"/>
    </sheetView>
  </sheetViews>
  <sheetFormatPr defaultRowHeight="15"/>
  <cols>
    <col min="13" max="16" width="8.85546875" customWidth="1"/>
  </cols>
  <sheetData>
    <row r="1" spans="1:34" ht="120">
      <c r="A1" s="6" t="s">
        <v>11</v>
      </c>
      <c r="B1" s="6" t="s">
        <v>2</v>
      </c>
      <c r="C1" s="6" t="s">
        <v>12</v>
      </c>
      <c r="D1" s="6" t="s">
        <v>13</v>
      </c>
      <c r="E1" s="6" t="s">
        <v>14</v>
      </c>
      <c r="F1" s="6" t="s">
        <v>8</v>
      </c>
      <c r="G1" s="6" t="s">
        <v>9</v>
      </c>
      <c r="H1" s="6" t="s">
        <v>10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97</v>
      </c>
      <c r="N1" s="6" t="s">
        <v>98</v>
      </c>
      <c r="O1" s="6" t="s">
        <v>99</v>
      </c>
      <c r="P1" s="6" t="s">
        <v>100</v>
      </c>
      <c r="Q1" s="6" t="s">
        <v>101</v>
      </c>
      <c r="R1" s="6" t="s">
        <v>89</v>
      </c>
      <c r="S1" s="6" t="s">
        <v>90</v>
      </c>
      <c r="T1" s="6" t="s">
        <v>91</v>
      </c>
      <c r="U1" s="6" t="s">
        <v>92</v>
      </c>
      <c r="V1" s="6" t="s">
        <v>93</v>
      </c>
      <c r="W1" s="6" t="s">
        <v>94</v>
      </c>
      <c r="X1" s="6" t="s">
        <v>95</v>
      </c>
      <c r="Y1" s="6" t="s">
        <v>96</v>
      </c>
      <c r="Z1" s="6" t="s">
        <v>102</v>
      </c>
      <c r="AA1" s="6" t="s">
        <v>103</v>
      </c>
      <c r="AB1" s="6" t="s">
        <v>104</v>
      </c>
      <c r="AC1" s="6" t="s">
        <v>105</v>
      </c>
      <c r="AD1" s="6" t="s">
        <v>106</v>
      </c>
      <c r="AE1" s="6" t="s">
        <v>107</v>
      </c>
      <c r="AF1" s="6" t="s">
        <v>108</v>
      </c>
      <c r="AG1" s="6" t="s">
        <v>109</v>
      </c>
      <c r="AH1" s="6" t="s">
        <v>110</v>
      </c>
    </row>
    <row r="2" spans="1:34">
      <c r="A2">
        <v>1994</v>
      </c>
      <c r="B2" s="2">
        <v>36254</v>
      </c>
      <c r="C2" s="2">
        <v>21596</v>
      </c>
      <c r="D2" s="2">
        <v>10294</v>
      </c>
      <c r="E2">
        <v>108</v>
      </c>
      <c r="F2" s="2">
        <v>5489</v>
      </c>
      <c r="G2">
        <v>802</v>
      </c>
      <c r="H2">
        <v>107</v>
      </c>
      <c r="I2" s="2">
        <v>2358</v>
      </c>
      <c r="J2" s="2">
        <v>260327</v>
      </c>
      <c r="K2" s="2">
        <v>192497</v>
      </c>
      <c r="L2" s="2">
        <v>175403</v>
      </c>
      <c r="M2" s="2">
        <v>30273</v>
      </c>
      <c r="N2" s="2">
        <v>16353</v>
      </c>
      <c r="O2" s="2">
        <v>4644</v>
      </c>
      <c r="P2" s="2">
        <v>2339</v>
      </c>
      <c r="Q2" s="2">
        <v>21997</v>
      </c>
      <c r="R2" s="2">
        <v>8904</v>
      </c>
      <c r="S2" s="2">
        <v>670</v>
      </c>
      <c r="T2" s="2">
        <v>18</v>
      </c>
      <c r="U2" s="2">
        <v>409</v>
      </c>
      <c r="V2" s="2">
        <v>2320</v>
      </c>
      <c r="W2" s="2">
        <v>5489</v>
      </c>
      <c r="X2" s="2">
        <v>802</v>
      </c>
      <c r="Y2" s="2">
        <v>107</v>
      </c>
      <c r="Z2" s="2">
        <v>4870</v>
      </c>
      <c r="AA2" s="2">
        <v>2409</v>
      </c>
      <c r="AB2" s="2">
        <v>1063</v>
      </c>
      <c r="AC2" s="2">
        <v>610</v>
      </c>
      <c r="AD2" s="2">
        <v>29</v>
      </c>
      <c r="AE2" s="85">
        <v>5574</v>
      </c>
      <c r="AF2" s="85">
        <v>1757</v>
      </c>
      <c r="AG2" s="85">
        <v>1508</v>
      </c>
      <c r="AH2" s="86">
        <v>65</v>
      </c>
    </row>
    <row r="3" spans="1:34">
      <c r="A3">
        <v>1995</v>
      </c>
      <c r="B3" s="2">
        <v>37241</v>
      </c>
      <c r="C3" s="2">
        <v>22370</v>
      </c>
      <c r="D3" s="2">
        <v>10576</v>
      </c>
      <c r="E3">
        <v>118</v>
      </c>
      <c r="F3" s="2">
        <v>5584</v>
      </c>
      <c r="G3">
        <v>833</v>
      </c>
      <c r="H3">
        <v>109</v>
      </c>
      <c r="I3" s="2">
        <v>2423</v>
      </c>
      <c r="J3" s="2">
        <v>262803</v>
      </c>
      <c r="K3" s="2">
        <v>197065</v>
      </c>
      <c r="L3" s="2">
        <v>176628</v>
      </c>
      <c r="M3" s="2">
        <v>30940</v>
      </c>
      <c r="N3" s="2">
        <v>17587</v>
      </c>
      <c r="O3" s="2">
        <v>4472</v>
      </c>
      <c r="P3" s="2">
        <v>2268</v>
      </c>
      <c r="Q3" s="2">
        <v>22423</v>
      </c>
      <c r="R3" s="2">
        <v>9568</v>
      </c>
      <c r="S3" s="2">
        <v>648</v>
      </c>
      <c r="T3" s="2">
        <v>33</v>
      </c>
      <c r="U3" s="2">
        <v>392</v>
      </c>
      <c r="V3" s="2">
        <v>2227</v>
      </c>
      <c r="W3" s="2">
        <v>5584</v>
      </c>
      <c r="X3" s="2">
        <v>833</v>
      </c>
      <c r="Y3" s="2">
        <v>109</v>
      </c>
      <c r="Z3" s="2">
        <v>5076</v>
      </c>
      <c r="AA3" s="2">
        <v>2571</v>
      </c>
      <c r="AB3" s="2">
        <v>1210</v>
      </c>
      <c r="AC3" s="2">
        <v>650</v>
      </c>
      <c r="AD3" s="2">
        <v>30</v>
      </c>
      <c r="AE3" s="85">
        <v>5938</v>
      </c>
      <c r="AF3" s="85">
        <v>1935</v>
      </c>
      <c r="AG3" s="85">
        <v>1639</v>
      </c>
      <c r="AH3" s="86">
        <v>56</v>
      </c>
    </row>
    <row r="4" spans="1:34">
      <c r="A4">
        <v>1996</v>
      </c>
      <c r="B4" s="2">
        <v>37494</v>
      </c>
      <c r="C4" s="2">
        <v>22572</v>
      </c>
      <c r="D4" s="2">
        <v>10860</v>
      </c>
      <c r="E4">
        <v>102</v>
      </c>
      <c r="F4" s="2">
        <v>5449</v>
      </c>
      <c r="G4">
        <v>765</v>
      </c>
      <c r="H4">
        <v>154</v>
      </c>
      <c r="I4" s="2">
        <v>2484</v>
      </c>
      <c r="J4" s="2">
        <v>265229</v>
      </c>
      <c r="K4" s="2">
        <v>201631</v>
      </c>
      <c r="L4" s="2">
        <v>179539</v>
      </c>
      <c r="M4" s="2">
        <v>30727</v>
      </c>
      <c r="N4" s="2">
        <v>18246</v>
      </c>
      <c r="O4" s="2">
        <v>4755</v>
      </c>
      <c r="P4" s="2">
        <v>2176</v>
      </c>
      <c r="Q4" s="2">
        <v>22505</v>
      </c>
      <c r="R4" s="2">
        <v>9932</v>
      </c>
      <c r="S4" s="2">
        <v>621</v>
      </c>
      <c r="T4" s="2">
        <v>21</v>
      </c>
      <c r="U4" s="2">
        <v>455</v>
      </c>
      <c r="V4" s="2">
        <v>2161</v>
      </c>
      <c r="W4" s="2">
        <v>5449</v>
      </c>
      <c r="X4" s="2">
        <v>765</v>
      </c>
      <c r="Y4" s="2">
        <v>154</v>
      </c>
      <c r="Z4" s="2">
        <v>4997</v>
      </c>
      <c r="AA4" s="2">
        <v>2545</v>
      </c>
      <c r="AB4" s="2">
        <v>1384</v>
      </c>
      <c r="AC4" s="2">
        <v>681</v>
      </c>
      <c r="AD4" s="2">
        <v>17</v>
      </c>
      <c r="AE4" s="85">
        <v>5904</v>
      </c>
      <c r="AF4" s="85">
        <v>2147</v>
      </c>
      <c r="AG4" s="85">
        <v>1832</v>
      </c>
      <c r="AH4" s="86">
        <v>49</v>
      </c>
    </row>
    <row r="5" spans="1:34">
      <c r="A5">
        <v>1997</v>
      </c>
      <c r="B5" s="2">
        <v>37324</v>
      </c>
      <c r="C5" s="2">
        <v>22730</v>
      </c>
      <c r="D5" s="2">
        <v>10765</v>
      </c>
      <c r="E5">
        <v>114</v>
      </c>
      <c r="F5" s="2">
        <v>5321</v>
      </c>
      <c r="G5">
        <v>814</v>
      </c>
      <c r="H5">
        <v>153</v>
      </c>
      <c r="I5" s="2">
        <v>2552</v>
      </c>
      <c r="J5" s="2">
        <v>267784</v>
      </c>
      <c r="K5" s="2">
        <v>203568</v>
      </c>
      <c r="L5" s="2">
        <v>182709</v>
      </c>
      <c r="M5" s="2">
        <v>30059</v>
      </c>
      <c r="N5" s="2">
        <v>18628</v>
      </c>
      <c r="O5" s="2">
        <v>4917</v>
      </c>
      <c r="P5" s="2">
        <v>2160</v>
      </c>
      <c r="Q5" s="2">
        <v>22199</v>
      </c>
      <c r="R5" s="2">
        <v>10249</v>
      </c>
      <c r="S5" s="2">
        <v>723</v>
      </c>
      <c r="T5" s="2">
        <v>18</v>
      </c>
      <c r="U5" s="2">
        <v>420</v>
      </c>
      <c r="V5" s="2">
        <v>2116</v>
      </c>
      <c r="W5" s="2">
        <v>5321</v>
      </c>
      <c r="X5" s="2">
        <v>814</v>
      </c>
      <c r="Y5" s="2">
        <v>153</v>
      </c>
      <c r="Z5" s="2">
        <v>4765</v>
      </c>
      <c r="AA5" s="2">
        <v>2479</v>
      </c>
      <c r="AB5" s="2">
        <v>1489</v>
      </c>
      <c r="AC5" s="2">
        <v>768</v>
      </c>
      <c r="AD5" s="2">
        <v>26</v>
      </c>
      <c r="AE5" s="85">
        <v>5887</v>
      </c>
      <c r="AF5" s="85">
        <v>2380</v>
      </c>
      <c r="AG5" s="85">
        <v>1914</v>
      </c>
      <c r="AH5" s="86">
        <v>68</v>
      </c>
    </row>
    <row r="6" spans="1:34">
      <c r="A6">
        <v>1998</v>
      </c>
      <c r="B6" s="2">
        <v>37107</v>
      </c>
      <c r="C6" s="2">
        <v>22654</v>
      </c>
      <c r="D6" s="2">
        <v>10327</v>
      </c>
      <c r="E6">
        <v>107</v>
      </c>
      <c r="F6" s="2">
        <v>5228</v>
      </c>
      <c r="G6">
        <v>760</v>
      </c>
      <c r="H6">
        <v>131</v>
      </c>
      <c r="I6" s="2">
        <v>2628</v>
      </c>
      <c r="J6" s="2">
        <v>270248</v>
      </c>
      <c r="K6" s="2">
        <v>208076</v>
      </c>
      <c r="L6" s="2">
        <v>184861</v>
      </c>
      <c r="M6" s="2">
        <v>29040</v>
      </c>
      <c r="N6" s="2">
        <v>19363</v>
      </c>
      <c r="O6" s="2">
        <v>4955</v>
      </c>
      <c r="P6" s="2">
        <v>2334</v>
      </c>
      <c r="Q6" s="2">
        <v>21194</v>
      </c>
      <c r="R6" s="2">
        <v>10705</v>
      </c>
      <c r="S6" s="2">
        <v>742</v>
      </c>
      <c r="T6" s="2">
        <v>38</v>
      </c>
      <c r="U6" s="2">
        <v>409</v>
      </c>
      <c r="V6" s="2">
        <v>2294</v>
      </c>
      <c r="W6" s="2">
        <v>5228</v>
      </c>
      <c r="X6" s="2">
        <v>760</v>
      </c>
      <c r="Y6" s="2">
        <v>131</v>
      </c>
      <c r="Z6" s="2">
        <v>4672</v>
      </c>
      <c r="AA6" s="2">
        <v>2560</v>
      </c>
      <c r="AB6" s="2">
        <v>1705</v>
      </c>
      <c r="AC6" s="2">
        <v>823</v>
      </c>
      <c r="AD6" s="2">
        <v>13</v>
      </c>
      <c r="AE6" s="85">
        <v>5921</v>
      </c>
      <c r="AF6" s="85">
        <v>2713</v>
      </c>
      <c r="AG6" s="85">
        <v>2042</v>
      </c>
      <c r="AH6" s="86">
        <v>29</v>
      </c>
    </row>
    <row r="7" spans="1:34">
      <c r="A7">
        <v>1999</v>
      </c>
      <c r="B7" s="2">
        <v>37140</v>
      </c>
      <c r="C7" s="2">
        <v>22971</v>
      </c>
      <c r="D7" s="2">
        <v>10325</v>
      </c>
      <c r="E7">
        <v>96</v>
      </c>
      <c r="F7" s="2">
        <v>4939</v>
      </c>
      <c r="G7">
        <v>754</v>
      </c>
      <c r="H7">
        <v>149</v>
      </c>
      <c r="I7" s="2">
        <v>2690</v>
      </c>
      <c r="J7" s="2">
        <v>272691</v>
      </c>
      <c r="K7" s="2">
        <v>212685</v>
      </c>
      <c r="L7" s="2">
        <v>187170</v>
      </c>
      <c r="M7" s="2">
        <v>28027</v>
      </c>
      <c r="N7" s="2">
        <v>19959</v>
      </c>
      <c r="O7" s="2">
        <v>4920</v>
      </c>
      <c r="P7" s="2">
        <v>2532</v>
      </c>
      <c r="Q7" s="2">
        <v>20862</v>
      </c>
      <c r="R7" s="2">
        <v>11265</v>
      </c>
      <c r="S7" s="2">
        <v>759</v>
      </c>
      <c r="T7" s="2">
        <v>59</v>
      </c>
      <c r="U7" s="2">
        <v>447</v>
      </c>
      <c r="V7" s="2">
        <v>2483</v>
      </c>
      <c r="W7" s="2">
        <v>4939</v>
      </c>
      <c r="X7" s="2">
        <v>754</v>
      </c>
      <c r="Y7" s="2">
        <v>149</v>
      </c>
      <c r="Z7" s="2">
        <v>4718</v>
      </c>
      <c r="AA7" s="2">
        <v>2724</v>
      </c>
      <c r="AB7" s="2">
        <v>1902</v>
      </c>
      <c r="AC7" s="2">
        <v>784</v>
      </c>
      <c r="AD7" s="2">
        <v>12</v>
      </c>
      <c r="AE7" s="85">
        <v>6127</v>
      </c>
      <c r="AF7" s="85">
        <v>3026</v>
      </c>
      <c r="AG7" s="85">
        <v>2088</v>
      </c>
      <c r="AH7" s="86">
        <v>24</v>
      </c>
    </row>
    <row r="8" spans="1:34">
      <c r="A8">
        <v>2000</v>
      </c>
      <c r="B8" s="2">
        <v>37526</v>
      </c>
      <c r="C8" s="2">
        <v>22914</v>
      </c>
      <c r="D8" s="2">
        <v>10451</v>
      </c>
      <c r="E8">
        <v>86</v>
      </c>
      <c r="F8" s="2">
        <v>4763</v>
      </c>
      <c r="G8">
        <v>693</v>
      </c>
      <c r="H8">
        <v>141</v>
      </c>
      <c r="I8" s="2">
        <v>2747</v>
      </c>
      <c r="J8" s="2">
        <v>282162</v>
      </c>
      <c r="K8" s="2">
        <v>217993</v>
      </c>
      <c r="L8" s="2">
        <v>190625</v>
      </c>
      <c r="M8" s="2">
        <v>27802</v>
      </c>
      <c r="N8" s="2">
        <v>20498</v>
      </c>
      <c r="O8" s="2">
        <v>4995</v>
      </c>
      <c r="P8" s="2">
        <v>2975</v>
      </c>
      <c r="Q8" s="2">
        <v>20699</v>
      </c>
      <c r="R8" s="2">
        <v>11526</v>
      </c>
      <c r="S8" s="2">
        <v>754</v>
      </c>
      <c r="T8" s="2">
        <v>22</v>
      </c>
      <c r="U8" s="2">
        <v>450</v>
      </c>
      <c r="V8" s="2">
        <v>2897</v>
      </c>
      <c r="W8" s="2">
        <v>4763</v>
      </c>
      <c r="X8" s="2">
        <v>693</v>
      </c>
      <c r="Y8" s="2">
        <v>141</v>
      </c>
      <c r="Z8" s="2">
        <v>4548</v>
      </c>
      <c r="AA8" s="2">
        <v>2558</v>
      </c>
      <c r="AB8" s="2">
        <v>2064</v>
      </c>
      <c r="AC8" s="2">
        <v>771</v>
      </c>
      <c r="AD8" s="2">
        <v>18</v>
      </c>
      <c r="AE8" s="85">
        <v>6003</v>
      </c>
      <c r="AF8" s="85">
        <v>3358</v>
      </c>
      <c r="AG8" s="85">
        <v>2129</v>
      </c>
      <c r="AH8" s="86">
        <v>36</v>
      </c>
    </row>
    <row r="9" spans="1:34">
      <c r="A9">
        <v>2001</v>
      </c>
      <c r="B9" s="2">
        <v>37862</v>
      </c>
      <c r="C9" s="2">
        <v>22914</v>
      </c>
      <c r="D9" s="2">
        <v>10227</v>
      </c>
      <c r="E9">
        <v>102</v>
      </c>
      <c r="F9" s="2">
        <v>4901</v>
      </c>
      <c r="G9">
        <v>732</v>
      </c>
      <c r="H9">
        <v>123</v>
      </c>
      <c r="I9" s="2">
        <v>2796</v>
      </c>
      <c r="J9" s="2">
        <v>284969</v>
      </c>
      <c r="K9" s="2">
        <v>221230</v>
      </c>
      <c r="L9" s="2">
        <v>191276</v>
      </c>
      <c r="M9" s="2">
        <v>27586</v>
      </c>
      <c r="N9" s="2">
        <v>20831</v>
      </c>
      <c r="O9" s="2">
        <v>4823</v>
      </c>
      <c r="P9" s="2">
        <v>3265</v>
      </c>
      <c r="Q9" s="2">
        <v>20320</v>
      </c>
      <c r="R9" s="2">
        <v>11723</v>
      </c>
      <c r="S9" s="2">
        <v>708</v>
      </c>
      <c r="T9" s="2">
        <v>34</v>
      </c>
      <c r="U9" s="2">
        <v>458</v>
      </c>
      <c r="V9" s="2">
        <v>3197</v>
      </c>
      <c r="W9" s="2">
        <v>4901</v>
      </c>
      <c r="X9" s="2">
        <v>732</v>
      </c>
      <c r="Y9" s="2">
        <v>123</v>
      </c>
      <c r="Z9" s="2">
        <v>4559</v>
      </c>
      <c r="AA9" s="2">
        <v>2651</v>
      </c>
      <c r="AB9" s="2">
        <v>2149</v>
      </c>
      <c r="AC9" s="2">
        <v>786</v>
      </c>
      <c r="AD9" s="2">
        <v>12</v>
      </c>
      <c r="AE9" s="85">
        <v>6139</v>
      </c>
      <c r="AF9" s="85">
        <v>3530</v>
      </c>
      <c r="AG9" s="85">
        <v>2019</v>
      </c>
      <c r="AH9" s="86">
        <v>35</v>
      </c>
    </row>
    <row r="10" spans="1:34">
      <c r="A10">
        <v>2002</v>
      </c>
      <c r="B10" s="2">
        <v>38491</v>
      </c>
      <c r="C10" s="2">
        <v>23625</v>
      </c>
      <c r="D10" s="2">
        <v>10370</v>
      </c>
      <c r="E10">
        <v>110</v>
      </c>
      <c r="F10" s="2">
        <v>4851</v>
      </c>
      <c r="G10">
        <v>665</v>
      </c>
      <c r="H10">
        <v>114</v>
      </c>
      <c r="I10" s="2">
        <v>2856</v>
      </c>
      <c r="J10" s="2">
        <v>287625</v>
      </c>
      <c r="K10" s="2">
        <v>227136</v>
      </c>
      <c r="L10" s="2">
        <v>194602</v>
      </c>
      <c r="M10" s="2">
        <v>27374</v>
      </c>
      <c r="N10" s="2">
        <v>21668</v>
      </c>
      <c r="O10" s="2">
        <v>4587</v>
      </c>
      <c r="P10" s="2">
        <v>3365</v>
      </c>
      <c r="Q10" s="2">
        <v>20569</v>
      </c>
      <c r="R10" s="2">
        <v>12274</v>
      </c>
      <c r="S10" s="2">
        <v>689</v>
      </c>
      <c r="T10" s="2">
        <v>45</v>
      </c>
      <c r="U10" s="2">
        <v>528</v>
      </c>
      <c r="V10" s="2">
        <v>3270</v>
      </c>
      <c r="W10" s="2">
        <v>4851</v>
      </c>
      <c r="X10" s="2">
        <v>665</v>
      </c>
      <c r="Y10" s="2">
        <v>114</v>
      </c>
      <c r="Z10" s="2">
        <v>4794</v>
      </c>
      <c r="AA10" s="2">
        <v>2755</v>
      </c>
      <c r="AB10" s="2">
        <v>2471</v>
      </c>
      <c r="AC10" s="2">
        <v>699</v>
      </c>
      <c r="AD10" s="2">
        <v>10</v>
      </c>
      <c r="AE10" s="85">
        <v>6100</v>
      </c>
      <c r="AF10" s="85">
        <v>4031</v>
      </c>
      <c r="AG10" s="85">
        <v>2109</v>
      </c>
      <c r="AH10" s="86">
        <v>34</v>
      </c>
    </row>
    <row r="11" spans="1:34">
      <c r="A11">
        <v>2003</v>
      </c>
      <c r="B11" s="2">
        <v>38477</v>
      </c>
      <c r="C11" s="2">
        <v>23352</v>
      </c>
      <c r="D11" s="2">
        <v>10171</v>
      </c>
      <c r="E11">
        <v>104</v>
      </c>
      <c r="F11" s="2">
        <v>4774</v>
      </c>
      <c r="G11">
        <v>629</v>
      </c>
      <c r="H11">
        <v>140</v>
      </c>
      <c r="I11" s="2">
        <v>2890</v>
      </c>
      <c r="J11" s="2">
        <v>290108</v>
      </c>
      <c r="K11" s="2">
        <v>232326</v>
      </c>
      <c r="L11" s="2">
        <v>196166</v>
      </c>
      <c r="M11" s="2">
        <v>26562</v>
      </c>
      <c r="N11" s="2">
        <v>22299</v>
      </c>
      <c r="O11" s="2">
        <v>4721</v>
      </c>
      <c r="P11" s="2">
        <v>3802</v>
      </c>
      <c r="Q11" s="2">
        <v>19725</v>
      </c>
      <c r="R11" s="2">
        <v>12546</v>
      </c>
      <c r="S11" s="2">
        <v>726</v>
      </c>
      <c r="T11" s="2">
        <v>41</v>
      </c>
      <c r="U11" s="2">
        <v>589</v>
      </c>
      <c r="V11" s="2">
        <v>3714</v>
      </c>
      <c r="W11" s="2">
        <v>4774</v>
      </c>
      <c r="X11" s="2">
        <v>629</v>
      </c>
      <c r="Y11" s="2">
        <v>140</v>
      </c>
      <c r="Z11" s="2">
        <v>4464</v>
      </c>
      <c r="AA11" s="2">
        <v>2580</v>
      </c>
      <c r="AB11" s="2">
        <v>2661</v>
      </c>
      <c r="AC11" s="2">
        <v>728</v>
      </c>
      <c r="AD11" s="2">
        <v>9</v>
      </c>
      <c r="AE11" s="85">
        <v>5957</v>
      </c>
      <c r="AF11" s="85">
        <v>4483</v>
      </c>
      <c r="AG11" s="85">
        <v>2080</v>
      </c>
      <c r="AH11" s="86">
        <v>26</v>
      </c>
    </row>
    <row r="12" spans="1:34">
      <c r="A12">
        <v>2004</v>
      </c>
      <c r="B12" s="2">
        <v>38444</v>
      </c>
      <c r="C12" s="2">
        <v>23158</v>
      </c>
      <c r="D12" s="2">
        <v>10042</v>
      </c>
      <c r="E12">
        <v>76</v>
      </c>
      <c r="F12" s="2">
        <v>4675</v>
      </c>
      <c r="G12">
        <v>727</v>
      </c>
      <c r="H12">
        <v>130</v>
      </c>
      <c r="I12" s="2">
        <v>2965</v>
      </c>
      <c r="J12" s="2">
        <v>292805</v>
      </c>
      <c r="K12" s="2">
        <v>239364</v>
      </c>
      <c r="L12" s="2">
        <v>198889</v>
      </c>
      <c r="M12" s="2">
        <v>25682</v>
      </c>
      <c r="N12" s="2">
        <v>22486</v>
      </c>
      <c r="O12" s="2">
        <v>4902</v>
      </c>
      <c r="P12" s="2">
        <v>4121</v>
      </c>
      <c r="Q12" s="2">
        <v>19192</v>
      </c>
      <c r="R12" s="2">
        <v>12674</v>
      </c>
      <c r="S12" s="2">
        <v>766</v>
      </c>
      <c r="T12" s="2">
        <v>42</v>
      </c>
      <c r="U12" s="2">
        <v>602</v>
      </c>
      <c r="V12" s="2">
        <v>4028</v>
      </c>
      <c r="W12" s="2">
        <v>4675</v>
      </c>
      <c r="X12" s="2">
        <v>727</v>
      </c>
      <c r="Y12" s="2">
        <v>130</v>
      </c>
      <c r="Z12" s="2">
        <v>4353</v>
      </c>
      <c r="AA12" s="2">
        <v>2597</v>
      </c>
      <c r="AB12" s="2">
        <v>2929</v>
      </c>
      <c r="AC12" s="2">
        <v>695</v>
      </c>
      <c r="AD12" s="2">
        <v>16</v>
      </c>
      <c r="AE12" s="85">
        <v>5838</v>
      </c>
      <c r="AF12" s="85">
        <v>4760</v>
      </c>
      <c r="AG12" s="85">
        <v>2046</v>
      </c>
      <c r="AH12" s="86">
        <v>30</v>
      </c>
    </row>
    <row r="13" spans="1:34">
      <c r="A13">
        <v>2005</v>
      </c>
      <c r="B13" s="2">
        <v>39252</v>
      </c>
      <c r="C13" s="2">
        <v>23237</v>
      </c>
      <c r="D13" s="2">
        <v>9750</v>
      </c>
      <c r="E13">
        <v>83</v>
      </c>
      <c r="F13" s="2">
        <v>4892</v>
      </c>
      <c r="G13">
        <v>786</v>
      </c>
      <c r="H13">
        <v>186</v>
      </c>
      <c r="I13" s="2">
        <v>2989</v>
      </c>
      <c r="J13" s="2">
        <v>295517</v>
      </c>
      <c r="K13" s="2">
        <v>247031</v>
      </c>
      <c r="L13" s="2">
        <v>200549</v>
      </c>
      <c r="M13" s="2">
        <v>25169</v>
      </c>
      <c r="N13" s="2">
        <v>22964</v>
      </c>
      <c r="O13" s="2">
        <v>4951</v>
      </c>
      <c r="P13" s="2">
        <v>4682</v>
      </c>
      <c r="Q13" s="2">
        <v>18512</v>
      </c>
      <c r="R13" s="2">
        <v>13037</v>
      </c>
      <c r="S13" s="2">
        <v>804</v>
      </c>
      <c r="T13" s="2">
        <v>58</v>
      </c>
      <c r="U13" s="2">
        <v>659</v>
      </c>
      <c r="V13" s="2">
        <v>4576</v>
      </c>
      <c r="W13" s="2">
        <v>4892</v>
      </c>
      <c r="X13" s="2">
        <v>786</v>
      </c>
      <c r="Y13" s="2">
        <v>186</v>
      </c>
      <c r="Z13" s="2">
        <v>4371</v>
      </c>
      <c r="AA13" s="2">
        <v>2796</v>
      </c>
      <c r="AB13" s="2">
        <v>2895</v>
      </c>
      <c r="AC13" s="2">
        <v>794</v>
      </c>
      <c r="AD13" s="2">
        <v>14</v>
      </c>
      <c r="AE13" s="85">
        <v>6067</v>
      </c>
      <c r="AF13" s="85">
        <v>4831</v>
      </c>
      <c r="AG13" s="85">
        <v>2112</v>
      </c>
      <c r="AH13" s="86">
        <v>27</v>
      </c>
    </row>
    <row r="14" spans="1:34">
      <c r="A14">
        <v>2006</v>
      </c>
      <c r="B14" s="2">
        <v>38648</v>
      </c>
      <c r="C14" s="2">
        <v>22831</v>
      </c>
      <c r="D14" s="2">
        <v>9187</v>
      </c>
      <c r="E14">
        <v>101</v>
      </c>
      <c r="F14" s="2">
        <v>4795</v>
      </c>
      <c r="G14">
        <v>772</v>
      </c>
      <c r="H14">
        <v>185</v>
      </c>
      <c r="I14" s="2">
        <v>3014</v>
      </c>
      <c r="J14" s="2">
        <v>298380</v>
      </c>
      <c r="K14" s="2">
        <v>252930</v>
      </c>
      <c r="L14" s="2">
        <v>202810</v>
      </c>
      <c r="M14" s="2">
        <v>24260</v>
      </c>
      <c r="N14" s="2">
        <v>22411</v>
      </c>
      <c r="O14" s="2">
        <v>4766</v>
      </c>
      <c r="P14" s="2">
        <v>4963</v>
      </c>
      <c r="Q14" s="2">
        <v>17925</v>
      </c>
      <c r="R14" s="2">
        <v>12761</v>
      </c>
      <c r="S14" s="2">
        <v>805</v>
      </c>
      <c r="T14" s="2">
        <v>27</v>
      </c>
      <c r="U14" s="2">
        <v>601</v>
      </c>
      <c r="V14" s="2">
        <v>4837</v>
      </c>
      <c r="W14" s="2">
        <v>4795</v>
      </c>
      <c r="X14" s="2">
        <v>772</v>
      </c>
      <c r="Y14" s="2">
        <v>185</v>
      </c>
      <c r="Z14" s="2">
        <v>4376</v>
      </c>
      <c r="AA14" s="2">
        <v>2844</v>
      </c>
      <c r="AB14" s="2">
        <v>2899</v>
      </c>
      <c r="AC14" s="2">
        <v>609</v>
      </c>
      <c r="AD14" s="2">
        <v>14</v>
      </c>
      <c r="AE14" s="85">
        <v>5993</v>
      </c>
      <c r="AF14" s="85">
        <v>4928</v>
      </c>
      <c r="AG14" s="85">
        <v>1815</v>
      </c>
      <c r="AH14" s="86">
        <v>25</v>
      </c>
    </row>
    <row r="15" spans="1:34">
      <c r="A15">
        <v>2007</v>
      </c>
      <c r="B15" s="2">
        <v>37435</v>
      </c>
      <c r="C15" s="2">
        <v>21717</v>
      </c>
      <c r="D15" s="2">
        <v>8716</v>
      </c>
      <c r="E15">
        <v>94</v>
      </c>
      <c r="F15" s="2">
        <v>4699</v>
      </c>
      <c r="G15">
        <v>701</v>
      </c>
      <c r="H15">
        <v>158</v>
      </c>
      <c r="I15" s="2">
        <v>3031</v>
      </c>
      <c r="J15" s="2">
        <v>301231</v>
      </c>
      <c r="K15" s="2">
        <v>257472</v>
      </c>
      <c r="L15" s="2">
        <v>205742</v>
      </c>
      <c r="M15" s="2">
        <v>22856</v>
      </c>
      <c r="N15" s="2">
        <v>21810</v>
      </c>
      <c r="O15" s="2">
        <v>4633</v>
      </c>
      <c r="P15" s="2">
        <v>5306</v>
      </c>
      <c r="Q15" s="2">
        <v>16614</v>
      </c>
      <c r="R15" s="2">
        <v>12458</v>
      </c>
      <c r="S15" s="2">
        <v>805</v>
      </c>
      <c r="T15" s="2">
        <v>36</v>
      </c>
      <c r="U15" s="2">
        <v>614</v>
      </c>
      <c r="V15" s="2">
        <v>5174</v>
      </c>
      <c r="W15" s="2">
        <v>4699</v>
      </c>
      <c r="X15" s="2">
        <v>701</v>
      </c>
      <c r="Y15" s="2">
        <v>158</v>
      </c>
      <c r="Z15" s="2">
        <v>4055</v>
      </c>
      <c r="AA15" s="2">
        <v>2748</v>
      </c>
      <c r="AB15" s="2">
        <v>2861</v>
      </c>
      <c r="AC15" s="2">
        <v>572</v>
      </c>
      <c r="AD15" s="2">
        <v>4</v>
      </c>
      <c r="AE15" s="85">
        <v>5847</v>
      </c>
      <c r="AF15" s="85">
        <v>4834</v>
      </c>
      <c r="AG15" s="85">
        <v>1764</v>
      </c>
      <c r="AH15" s="86">
        <v>13</v>
      </c>
    </row>
    <row r="16" spans="1:34">
      <c r="A16">
        <v>2008</v>
      </c>
      <c r="B16" s="2">
        <v>34172</v>
      </c>
      <c r="C16" s="2">
        <v>19279</v>
      </c>
      <c r="D16" s="2">
        <v>7441</v>
      </c>
      <c r="E16">
        <v>71</v>
      </c>
      <c r="F16" s="2">
        <v>4414</v>
      </c>
      <c r="G16">
        <v>718</v>
      </c>
      <c r="H16">
        <v>188</v>
      </c>
      <c r="I16" s="2">
        <v>2977</v>
      </c>
      <c r="J16" s="2">
        <v>304094</v>
      </c>
      <c r="K16" s="2">
        <v>259360</v>
      </c>
      <c r="L16" s="2">
        <v>208321</v>
      </c>
      <c r="M16" s="2">
        <v>20474</v>
      </c>
      <c r="N16" s="2">
        <v>19179</v>
      </c>
      <c r="O16" s="2">
        <v>4089</v>
      </c>
      <c r="P16" s="2">
        <v>5409</v>
      </c>
      <c r="Q16" s="2">
        <v>14646</v>
      </c>
      <c r="R16" s="2">
        <v>10816</v>
      </c>
      <c r="S16" s="2">
        <v>682</v>
      </c>
      <c r="T16" s="2">
        <v>67</v>
      </c>
      <c r="U16" s="2">
        <v>580</v>
      </c>
      <c r="V16" s="2">
        <v>5312</v>
      </c>
      <c r="W16" s="2">
        <v>4414</v>
      </c>
      <c r="X16" s="2">
        <v>718</v>
      </c>
      <c r="Y16" s="2">
        <v>188</v>
      </c>
      <c r="Z16" s="2">
        <v>3653</v>
      </c>
      <c r="AA16" s="2">
        <v>2435</v>
      </c>
      <c r="AB16" s="2">
        <v>2435</v>
      </c>
      <c r="AC16" s="2">
        <v>514</v>
      </c>
      <c r="AD16" s="2">
        <v>6</v>
      </c>
      <c r="AE16" s="85">
        <v>5097</v>
      </c>
      <c r="AF16" s="85">
        <v>4214</v>
      </c>
      <c r="AG16" s="85">
        <v>1492</v>
      </c>
      <c r="AH16" s="86">
        <v>13</v>
      </c>
    </row>
    <row r="17" spans="1:34">
      <c r="A17">
        <v>2009</v>
      </c>
      <c r="B17" s="2">
        <v>30862</v>
      </c>
      <c r="C17" s="2">
        <v>17670</v>
      </c>
      <c r="D17" s="2">
        <v>6793</v>
      </c>
      <c r="E17">
        <v>63</v>
      </c>
      <c r="F17" s="2">
        <v>4109</v>
      </c>
      <c r="G17">
        <v>628</v>
      </c>
      <c r="H17">
        <v>151</v>
      </c>
      <c r="I17" s="2">
        <v>2957</v>
      </c>
      <c r="J17" s="2">
        <v>306772</v>
      </c>
      <c r="K17" s="2">
        <v>258958</v>
      </c>
      <c r="L17" s="2">
        <v>209618</v>
      </c>
      <c r="M17" s="2">
        <v>18413</v>
      </c>
      <c r="N17" s="2">
        <v>17958</v>
      </c>
      <c r="O17" s="2">
        <v>3211</v>
      </c>
      <c r="P17" s="2">
        <v>4603</v>
      </c>
      <c r="Q17" s="2">
        <v>13135</v>
      </c>
      <c r="R17" s="2">
        <v>10312</v>
      </c>
      <c r="S17" s="2">
        <v>499</v>
      </c>
      <c r="T17" s="2">
        <v>26</v>
      </c>
      <c r="U17" s="2">
        <v>554</v>
      </c>
      <c r="V17" s="2">
        <v>4469</v>
      </c>
      <c r="W17" s="2">
        <v>4109</v>
      </c>
      <c r="X17" s="2">
        <v>628</v>
      </c>
      <c r="Y17" s="2">
        <v>151</v>
      </c>
      <c r="Z17" s="2">
        <v>3230</v>
      </c>
      <c r="AA17" s="2">
        <v>2295</v>
      </c>
      <c r="AB17" s="2">
        <v>2303</v>
      </c>
      <c r="AC17" s="2">
        <v>457</v>
      </c>
      <c r="AD17" s="2">
        <v>6</v>
      </c>
      <c r="AE17" s="85">
        <v>4801</v>
      </c>
      <c r="AF17" s="85">
        <v>4104</v>
      </c>
      <c r="AG17" s="85">
        <v>1396</v>
      </c>
      <c r="AH17" s="86">
        <v>11</v>
      </c>
    </row>
    <row r="18" spans="1:34">
      <c r="A18">
        <v>2010</v>
      </c>
      <c r="B18" s="2">
        <v>30296</v>
      </c>
      <c r="C18" s="2">
        <v>16864</v>
      </c>
      <c r="D18" s="2">
        <v>6451</v>
      </c>
      <c r="E18">
        <v>56</v>
      </c>
      <c r="F18" s="2">
        <v>4302</v>
      </c>
      <c r="G18">
        <v>623</v>
      </c>
      <c r="H18">
        <v>185</v>
      </c>
      <c r="I18" s="2">
        <v>2967</v>
      </c>
      <c r="J18" s="2">
        <v>309326</v>
      </c>
      <c r="K18" s="2">
        <v>257312</v>
      </c>
      <c r="L18" s="2">
        <v>210115</v>
      </c>
      <c r="M18" s="2">
        <v>17804</v>
      </c>
      <c r="N18" s="2">
        <v>17491</v>
      </c>
      <c r="O18" s="2">
        <v>3494</v>
      </c>
      <c r="P18" s="2">
        <v>4651</v>
      </c>
      <c r="Q18" s="2">
        <v>12491</v>
      </c>
      <c r="R18" s="2">
        <v>9782</v>
      </c>
      <c r="S18" s="2">
        <v>530</v>
      </c>
      <c r="T18" s="2">
        <v>44</v>
      </c>
      <c r="U18" s="2">
        <v>524</v>
      </c>
      <c r="V18" s="2">
        <v>4518</v>
      </c>
      <c r="W18" s="2">
        <v>4302</v>
      </c>
      <c r="X18" s="2">
        <v>623</v>
      </c>
      <c r="Y18" s="2">
        <v>185</v>
      </c>
      <c r="Z18" s="2">
        <v>2933</v>
      </c>
      <c r="AA18" s="2">
        <v>2098</v>
      </c>
      <c r="AB18" s="2">
        <v>2264</v>
      </c>
      <c r="AC18" s="2">
        <v>413</v>
      </c>
      <c r="AD18" s="2">
        <v>2</v>
      </c>
      <c r="AE18" s="85">
        <v>4486</v>
      </c>
      <c r="AF18" s="85">
        <v>3942</v>
      </c>
      <c r="AG18" s="85">
        <v>1346</v>
      </c>
      <c r="AH18" s="86">
        <v>8</v>
      </c>
    </row>
    <row r="19" spans="1:34">
      <c r="A19">
        <v>2011</v>
      </c>
      <c r="B19" s="2">
        <v>29867</v>
      </c>
      <c r="C19" s="2">
        <v>16474</v>
      </c>
      <c r="D19" s="2">
        <v>5972</v>
      </c>
      <c r="E19">
        <v>64</v>
      </c>
      <c r="F19" s="2">
        <v>4457</v>
      </c>
      <c r="G19">
        <v>682</v>
      </c>
      <c r="H19">
        <v>200</v>
      </c>
      <c r="I19" s="2">
        <v>2950</v>
      </c>
      <c r="J19" s="2">
        <v>311588</v>
      </c>
      <c r="K19" s="2">
        <v>265043</v>
      </c>
      <c r="L19" s="2">
        <v>211875</v>
      </c>
      <c r="M19" s="2">
        <v>17508</v>
      </c>
      <c r="N19" s="2">
        <v>16806</v>
      </c>
      <c r="O19" s="2">
        <v>3633</v>
      </c>
      <c r="P19" s="2">
        <v>4769</v>
      </c>
      <c r="Q19" s="2">
        <v>12014</v>
      </c>
      <c r="R19" s="2">
        <v>9302</v>
      </c>
      <c r="S19" s="2">
        <v>640</v>
      </c>
      <c r="T19" s="2">
        <v>55</v>
      </c>
      <c r="U19" s="2">
        <v>499</v>
      </c>
      <c r="V19" s="2">
        <v>4630</v>
      </c>
      <c r="W19" s="2">
        <v>4457</v>
      </c>
      <c r="X19" s="2">
        <v>682</v>
      </c>
      <c r="Y19" s="2">
        <v>200</v>
      </c>
      <c r="Z19" s="2">
        <v>2849</v>
      </c>
      <c r="AA19" s="2">
        <v>1993</v>
      </c>
      <c r="AB19" s="2">
        <v>2172</v>
      </c>
      <c r="AC19" s="2">
        <v>375</v>
      </c>
      <c r="AD19" s="2">
        <v>11</v>
      </c>
      <c r="AE19" s="85">
        <v>4270</v>
      </c>
      <c r="AF19" s="85">
        <v>3884</v>
      </c>
      <c r="AG19" s="85">
        <v>1128</v>
      </c>
      <c r="AH19" s="86">
        <v>20</v>
      </c>
    </row>
    <row r="20" spans="1:34">
      <c r="A20">
        <v>2012</v>
      </c>
      <c r="B20" s="2">
        <v>30800</v>
      </c>
      <c r="C20" s="2">
        <v>16769</v>
      </c>
      <c r="D20" s="2">
        <v>6061</v>
      </c>
      <c r="E20">
        <v>82</v>
      </c>
      <c r="F20" s="2">
        <v>4743</v>
      </c>
      <c r="G20">
        <v>726</v>
      </c>
      <c r="H20">
        <v>223</v>
      </c>
      <c r="I20" s="2">
        <v>2969</v>
      </c>
      <c r="J20" s="2">
        <v>313914</v>
      </c>
      <c r="K20" s="2">
        <v>265647</v>
      </c>
      <c r="L20" s="2">
        <v>211815</v>
      </c>
      <c r="M20" s="2">
        <v>18092</v>
      </c>
      <c r="N20" s="2">
        <v>17254</v>
      </c>
      <c r="O20" s="2">
        <v>3802</v>
      </c>
      <c r="P20" s="2">
        <v>5080</v>
      </c>
      <c r="Q20" s="2">
        <v>12271</v>
      </c>
      <c r="R20" s="2">
        <v>9396</v>
      </c>
      <c r="S20" s="2">
        <v>697</v>
      </c>
      <c r="T20" s="2">
        <v>39</v>
      </c>
      <c r="U20" s="2">
        <v>509</v>
      </c>
      <c r="V20" s="2">
        <v>4957</v>
      </c>
      <c r="W20" s="2">
        <v>4743</v>
      </c>
      <c r="X20" s="2">
        <v>726</v>
      </c>
      <c r="Y20" s="2">
        <v>223</v>
      </c>
      <c r="Z20" s="2">
        <v>3009</v>
      </c>
      <c r="AA20" s="2">
        <v>2004</v>
      </c>
      <c r="AB20" s="2">
        <v>2157</v>
      </c>
      <c r="AC20" s="2">
        <v>327</v>
      </c>
      <c r="AD20" s="2">
        <v>3</v>
      </c>
      <c r="AE20" s="85">
        <v>4332</v>
      </c>
      <c r="AF20" s="85">
        <v>3875</v>
      </c>
      <c r="AG20" s="85">
        <v>1167</v>
      </c>
      <c r="AH20" s="86">
        <v>22</v>
      </c>
    </row>
  </sheetData>
  <sortState ref="A2:P20">
    <sortCondition ref="A2:A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J21"/>
  <sheetViews>
    <sheetView workbookViewId="0">
      <selection activeCell="E3" sqref="E3:G3"/>
    </sheetView>
  </sheetViews>
  <sheetFormatPr defaultRowHeight="15"/>
  <cols>
    <col min="2" max="10" width="13.5703125" customWidth="1"/>
  </cols>
  <sheetData>
    <row r="2" spans="1:10" s="6" customFormat="1" ht="45">
      <c r="A2" s="6" t="s">
        <v>15</v>
      </c>
      <c r="B2" s="6" t="s">
        <v>16</v>
      </c>
      <c r="C2" s="6" t="s">
        <v>17</v>
      </c>
      <c r="D2" s="6" t="s">
        <v>18</v>
      </c>
      <c r="E2" s="6" t="s">
        <v>19</v>
      </c>
      <c r="F2" s="6" t="s">
        <v>20</v>
      </c>
      <c r="G2" s="6" t="s">
        <v>21</v>
      </c>
      <c r="H2" s="7" t="s">
        <v>22</v>
      </c>
      <c r="I2" s="7" t="s">
        <v>23</v>
      </c>
      <c r="J2" s="7" t="s">
        <v>24</v>
      </c>
    </row>
    <row r="3" spans="1:10">
      <c r="A3">
        <v>1994</v>
      </c>
      <c r="B3" s="2">
        <v>22763</v>
      </c>
      <c r="C3" s="2">
        <v>18946</v>
      </c>
      <c r="D3" s="2">
        <v>4629</v>
      </c>
      <c r="E3" s="2">
        <v>9642</v>
      </c>
      <c r="F3" s="2">
        <v>18636</v>
      </c>
      <c r="G3" s="2">
        <v>2623</v>
      </c>
      <c r="H3" s="5">
        <f>E3/B3</f>
        <v>0.42358212889337959</v>
      </c>
      <c r="I3" s="5">
        <f>F3/C3</f>
        <v>0.98363770716773991</v>
      </c>
      <c r="J3" s="5">
        <f>G3/D3</f>
        <v>0.56664506372866708</v>
      </c>
    </row>
    <row r="4" spans="1:10">
      <c r="A4">
        <v>1995</v>
      </c>
      <c r="B4" s="2">
        <v>24166</v>
      </c>
      <c r="C4" s="2">
        <v>19427</v>
      </c>
      <c r="D4" s="2">
        <v>4663</v>
      </c>
      <c r="E4" s="2">
        <v>10159</v>
      </c>
      <c r="F4" s="2">
        <v>19123</v>
      </c>
      <c r="G4" s="2">
        <v>2709</v>
      </c>
      <c r="H4" s="5">
        <f t="shared" ref="H4:H21" si="0">E4/B4</f>
        <v>0.4203840105933957</v>
      </c>
      <c r="I4" s="5">
        <f t="shared" ref="I4:I21" si="1">F4/C4</f>
        <v>0.98435167550316571</v>
      </c>
      <c r="J4" s="5">
        <f t="shared" ref="J4:J21" si="2">G4/D4</f>
        <v>0.58095646579455285</v>
      </c>
    </row>
    <row r="5" spans="1:10">
      <c r="A5">
        <v>1996</v>
      </c>
      <c r="B5" s="2">
        <v>25207</v>
      </c>
      <c r="C5" s="2">
        <v>18759</v>
      </c>
      <c r="D5" s="2">
        <v>4747</v>
      </c>
      <c r="E5" s="2">
        <v>10716</v>
      </c>
      <c r="F5" s="2">
        <v>18848</v>
      </c>
      <c r="G5" s="2">
        <v>2873</v>
      </c>
      <c r="H5" s="5">
        <f t="shared" si="0"/>
        <v>0.42512000634744318</v>
      </c>
      <c r="I5" s="5">
        <f t="shared" si="1"/>
        <v>1.0047443893597741</v>
      </c>
      <c r="J5" s="5">
        <f t="shared" si="2"/>
        <v>0.6052243522224563</v>
      </c>
    </row>
    <row r="6" spans="1:10">
      <c r="A6">
        <v>1997</v>
      </c>
      <c r="B6" s="2">
        <v>25313</v>
      </c>
      <c r="C6" s="2">
        <v>18286</v>
      </c>
      <c r="D6" s="2">
        <v>4799</v>
      </c>
      <c r="E6" s="2">
        <v>10995</v>
      </c>
      <c r="F6" s="2">
        <v>18642</v>
      </c>
      <c r="G6" s="2">
        <v>2811</v>
      </c>
      <c r="H6" s="5">
        <f t="shared" si="0"/>
        <v>0.43436179038438749</v>
      </c>
      <c r="I6" s="5">
        <f t="shared" si="1"/>
        <v>1.0194684458055343</v>
      </c>
      <c r="J6" s="5">
        <f t="shared" si="2"/>
        <v>0.58574703063138156</v>
      </c>
    </row>
    <row r="7" spans="1:10">
      <c r="A7">
        <v>1998</v>
      </c>
      <c r="B7" s="2">
        <v>25854</v>
      </c>
      <c r="C7" s="2">
        <v>17601</v>
      </c>
      <c r="D7" s="2">
        <v>4699</v>
      </c>
      <c r="E7" s="2">
        <v>11213</v>
      </c>
      <c r="F7" s="2">
        <v>18022</v>
      </c>
      <c r="G7" s="2">
        <v>2664</v>
      </c>
      <c r="H7" s="5">
        <f t="shared" si="0"/>
        <v>0.43370464918387869</v>
      </c>
      <c r="I7" s="5">
        <f t="shared" si="1"/>
        <v>1.0239190955059372</v>
      </c>
      <c r="J7" s="5">
        <f t="shared" si="2"/>
        <v>0.56692913385826771</v>
      </c>
    </row>
    <row r="8" spans="1:10">
      <c r="A8">
        <v>1999</v>
      </c>
      <c r="B8" s="2">
        <v>25498</v>
      </c>
      <c r="C8" s="2">
        <v>17693</v>
      </c>
      <c r="D8" s="2">
        <v>4552</v>
      </c>
      <c r="E8" s="2">
        <v>11174</v>
      </c>
      <c r="F8" s="2">
        <v>18316</v>
      </c>
      <c r="G8" s="2">
        <v>2637</v>
      </c>
      <c r="H8" s="5">
        <f t="shared" si="0"/>
        <v>0.43823044944701545</v>
      </c>
      <c r="I8" s="5">
        <f t="shared" si="1"/>
        <v>1.0352116656304753</v>
      </c>
      <c r="J8" s="5">
        <f t="shared" si="2"/>
        <v>0.57930579964850615</v>
      </c>
    </row>
    <row r="9" spans="1:10">
      <c r="A9">
        <v>2000</v>
      </c>
      <c r="B9" s="2">
        <v>26690</v>
      </c>
      <c r="C9" s="2">
        <v>16995</v>
      </c>
      <c r="D9" s="2">
        <v>4369</v>
      </c>
      <c r="E9" s="2">
        <v>11787</v>
      </c>
      <c r="F9" s="2">
        <v>17810</v>
      </c>
      <c r="G9" s="2">
        <v>2628</v>
      </c>
      <c r="H9" s="5">
        <f t="shared" si="0"/>
        <v>0.44162607718246533</v>
      </c>
      <c r="I9" s="5">
        <f t="shared" si="1"/>
        <v>1.0479552809649897</v>
      </c>
      <c r="J9" s="5">
        <f t="shared" si="2"/>
        <v>0.60151064316777292</v>
      </c>
    </row>
    <row r="10" spans="1:10">
      <c r="A10">
        <v>2001</v>
      </c>
      <c r="B10" s="2">
        <v>27222</v>
      </c>
      <c r="C10" s="2">
        <v>16528</v>
      </c>
      <c r="D10" s="2">
        <v>4398</v>
      </c>
      <c r="E10" s="2">
        <v>11946</v>
      </c>
      <c r="F10" s="2">
        <v>17517</v>
      </c>
      <c r="G10" s="2">
        <v>2580</v>
      </c>
      <c r="H10" s="5">
        <f t="shared" si="0"/>
        <v>0.43883623539784</v>
      </c>
      <c r="I10" s="5">
        <f t="shared" si="1"/>
        <v>1.0598378509196515</v>
      </c>
      <c r="J10" s="5">
        <f t="shared" si="2"/>
        <v>0.58663028649386084</v>
      </c>
    </row>
    <row r="11" spans="1:10">
      <c r="A11">
        <v>2002</v>
      </c>
      <c r="B11" s="2">
        <v>27813</v>
      </c>
      <c r="C11" s="2">
        <v>16710</v>
      </c>
      <c r="D11" s="2">
        <v>4275</v>
      </c>
      <c r="E11" s="2">
        <v>12533</v>
      </c>
      <c r="F11" s="2">
        <v>17797</v>
      </c>
      <c r="G11" s="2">
        <v>2513</v>
      </c>
      <c r="H11" s="5">
        <f t="shared" si="0"/>
        <v>0.45061661812821341</v>
      </c>
      <c r="I11" s="5">
        <f t="shared" si="1"/>
        <v>1.0650508677438659</v>
      </c>
      <c r="J11" s="5">
        <f t="shared" si="2"/>
        <v>0.58783625730994149</v>
      </c>
    </row>
    <row r="12" spans="1:10">
      <c r="A12">
        <v>2003</v>
      </c>
      <c r="B12" s="2">
        <v>28822</v>
      </c>
      <c r="C12" s="2">
        <v>15491</v>
      </c>
      <c r="D12" s="2">
        <v>4281</v>
      </c>
      <c r="E12" s="2">
        <v>12967</v>
      </c>
      <c r="F12" s="2">
        <v>16764</v>
      </c>
      <c r="G12" s="2">
        <v>2540</v>
      </c>
      <c r="H12" s="5">
        <f t="shared" si="0"/>
        <v>0.44989938241620986</v>
      </c>
      <c r="I12" s="5">
        <f t="shared" si="1"/>
        <v>1.0821767477890387</v>
      </c>
      <c r="J12" s="5">
        <f t="shared" si="2"/>
        <v>0.59331931791637471</v>
      </c>
    </row>
    <row r="13" spans="1:10">
      <c r="A13">
        <v>2004</v>
      </c>
      <c r="B13" s="2">
        <v>29072</v>
      </c>
      <c r="C13" s="2">
        <v>15120</v>
      </c>
      <c r="D13" s="2">
        <v>3743</v>
      </c>
      <c r="E13" s="2">
        <v>13250</v>
      </c>
      <c r="F13" s="2">
        <v>16432</v>
      </c>
      <c r="G13" s="2">
        <v>2184</v>
      </c>
      <c r="H13" s="5">
        <f t="shared" si="0"/>
        <v>0.45576499724821135</v>
      </c>
      <c r="I13" s="5">
        <f t="shared" si="1"/>
        <v>1.0867724867724868</v>
      </c>
      <c r="J13" s="5">
        <f t="shared" si="2"/>
        <v>0.58348917980229764</v>
      </c>
    </row>
    <row r="14" spans="1:10">
      <c r="A14">
        <v>2005</v>
      </c>
      <c r="B14" s="2">
        <v>29264</v>
      </c>
      <c r="C14" s="2">
        <v>14984</v>
      </c>
      <c r="D14" s="2">
        <v>3677</v>
      </c>
      <c r="E14" s="2">
        <v>13064</v>
      </c>
      <c r="F14" s="2">
        <v>16247</v>
      </c>
      <c r="G14" s="2">
        <v>2238</v>
      </c>
      <c r="H14" s="5">
        <f t="shared" si="0"/>
        <v>0.44641880809185347</v>
      </c>
      <c r="I14" s="5">
        <f t="shared" si="1"/>
        <v>1.084289909236519</v>
      </c>
      <c r="J14" s="5">
        <f t="shared" si="2"/>
        <v>0.60864835463693223</v>
      </c>
    </row>
    <row r="15" spans="1:10">
      <c r="A15">
        <v>2006</v>
      </c>
      <c r="B15" s="2">
        <v>28285</v>
      </c>
      <c r="C15" s="2">
        <v>14434</v>
      </c>
      <c r="D15" s="2">
        <v>3750</v>
      </c>
      <c r="E15" s="2">
        <v>12710</v>
      </c>
      <c r="F15" s="2">
        <v>15635</v>
      </c>
      <c r="G15" s="2">
        <v>2341</v>
      </c>
      <c r="H15" s="5">
        <f t="shared" si="0"/>
        <v>0.44935478168640625</v>
      </c>
      <c r="I15" s="5">
        <f t="shared" si="1"/>
        <v>1.0832063184148537</v>
      </c>
      <c r="J15" s="5">
        <f t="shared" si="2"/>
        <v>0.62426666666666664</v>
      </c>
    </row>
    <row r="16" spans="1:10">
      <c r="A16">
        <v>2007</v>
      </c>
      <c r="B16" s="2">
        <v>27622</v>
      </c>
      <c r="C16" s="2">
        <v>13215</v>
      </c>
      <c r="D16" s="2">
        <v>3647</v>
      </c>
      <c r="E16" s="2">
        <v>12322</v>
      </c>
      <c r="F16" s="2">
        <v>14446</v>
      </c>
      <c r="G16" s="2">
        <v>2304</v>
      </c>
      <c r="H16" s="5">
        <f t="shared" si="0"/>
        <v>0.446093693432771</v>
      </c>
      <c r="I16" s="5">
        <f t="shared" si="1"/>
        <v>1.093151721528566</v>
      </c>
      <c r="J16" s="5">
        <f t="shared" si="2"/>
        <v>0.63175212503427469</v>
      </c>
    </row>
    <row r="17" spans="1:10">
      <c r="A17">
        <v>2008</v>
      </c>
      <c r="B17" s="2">
        <v>24649</v>
      </c>
      <c r="C17" s="2">
        <v>11770</v>
      </c>
      <c r="D17" s="2">
        <v>3055</v>
      </c>
      <c r="E17" s="2">
        <v>10691</v>
      </c>
      <c r="F17" s="2">
        <v>12925</v>
      </c>
      <c r="G17" s="2">
        <v>1846</v>
      </c>
      <c r="H17" s="5">
        <f t="shared" si="0"/>
        <v>0.43372956306543875</v>
      </c>
      <c r="I17" s="5">
        <f t="shared" si="1"/>
        <v>1.0981308411214954</v>
      </c>
      <c r="J17" s="5">
        <f t="shared" si="2"/>
        <v>0.60425531914893615</v>
      </c>
    </row>
    <row r="18" spans="1:10">
      <c r="A18">
        <v>2009</v>
      </c>
      <c r="B18" s="2">
        <v>22963</v>
      </c>
      <c r="C18" s="2">
        <v>10486</v>
      </c>
      <c r="D18" s="2">
        <v>2773</v>
      </c>
      <c r="E18" s="2">
        <v>10190</v>
      </c>
      <c r="F18" s="2">
        <v>11545</v>
      </c>
      <c r="G18" s="2">
        <v>1712</v>
      </c>
      <c r="H18" s="5">
        <f t="shared" si="0"/>
        <v>0.44375734877846973</v>
      </c>
      <c r="I18" s="5">
        <f t="shared" si="1"/>
        <v>1.1009917985885944</v>
      </c>
      <c r="J18" s="5">
        <f t="shared" si="2"/>
        <v>0.6173818968626037</v>
      </c>
    </row>
    <row r="19" spans="1:10">
      <c r="A19">
        <v>2010</v>
      </c>
      <c r="B19" s="2">
        <v>22712</v>
      </c>
      <c r="C19" s="2">
        <v>9598</v>
      </c>
      <c r="D19" s="2">
        <v>2785</v>
      </c>
      <c r="E19" s="2">
        <v>9969</v>
      </c>
      <c r="F19" s="2">
        <v>10590</v>
      </c>
      <c r="G19" s="2">
        <v>1714</v>
      </c>
      <c r="H19" s="5">
        <f t="shared" si="0"/>
        <v>0.43893096160619938</v>
      </c>
      <c r="I19" s="5">
        <f t="shared" si="1"/>
        <v>1.1033548655969994</v>
      </c>
      <c r="J19" s="5">
        <f t="shared" si="2"/>
        <v>0.61543985637342913</v>
      </c>
    </row>
    <row r="20" spans="1:10">
      <c r="A20">
        <v>2011</v>
      </c>
      <c r="B20" s="2">
        <v>22183</v>
      </c>
      <c r="C20" s="2">
        <v>9321</v>
      </c>
      <c r="D20" s="2">
        <v>2603</v>
      </c>
      <c r="E20" s="2">
        <v>9471</v>
      </c>
      <c r="F20" s="2">
        <v>10215</v>
      </c>
      <c r="G20" s="2">
        <v>1630</v>
      </c>
      <c r="H20" s="5">
        <f t="shared" si="0"/>
        <v>0.42694856421584099</v>
      </c>
      <c r="I20" s="5">
        <f t="shared" si="1"/>
        <v>1.0959124557450917</v>
      </c>
      <c r="J20" s="5">
        <f t="shared" si="2"/>
        <v>0.62620053784095275</v>
      </c>
    </row>
    <row r="21" spans="1:10">
      <c r="A21">
        <v>2012</v>
      </c>
      <c r="B21" s="2">
        <v>22983</v>
      </c>
      <c r="C21" s="2">
        <v>9395</v>
      </c>
      <c r="D21" s="2">
        <v>2745</v>
      </c>
      <c r="E21" s="2">
        <v>9679</v>
      </c>
      <c r="F21" s="2">
        <v>10335</v>
      </c>
      <c r="G21" s="2">
        <v>1653</v>
      </c>
      <c r="H21" s="5">
        <f t="shared" si="0"/>
        <v>0.42113736239829441</v>
      </c>
      <c r="I21" s="5">
        <f t="shared" si="1"/>
        <v>1.1000532197977648</v>
      </c>
      <c r="J21" s="5">
        <f t="shared" si="2"/>
        <v>0.6021857923497268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22"/>
  <sheetViews>
    <sheetView topLeftCell="G1" zoomScale="85" zoomScaleNormal="85" workbookViewId="0">
      <selection activeCell="N31" sqref="N31"/>
    </sheetView>
  </sheetViews>
  <sheetFormatPr defaultRowHeight="15"/>
  <sheetData>
    <row r="1" spans="1:17">
      <c r="A1" t="s">
        <v>25</v>
      </c>
    </row>
    <row r="3" spans="1:17" ht="60">
      <c r="A3" s="6" t="s">
        <v>15</v>
      </c>
      <c r="B3" s="6" t="s">
        <v>26</v>
      </c>
      <c r="C3" s="6" t="s">
        <v>29</v>
      </c>
      <c r="D3" s="6" t="s">
        <v>28</v>
      </c>
      <c r="E3" s="6" t="s">
        <v>27</v>
      </c>
      <c r="F3" s="6" t="s">
        <v>33</v>
      </c>
      <c r="G3" s="6" t="s">
        <v>30</v>
      </c>
      <c r="H3" s="6" t="s">
        <v>31</v>
      </c>
      <c r="I3" s="6" t="s">
        <v>32</v>
      </c>
      <c r="J3" s="7" t="s">
        <v>3</v>
      </c>
      <c r="K3" s="7" t="s">
        <v>34</v>
      </c>
      <c r="L3" s="7" t="s">
        <v>35</v>
      </c>
      <c r="M3" s="7" t="s">
        <v>36</v>
      </c>
      <c r="N3" s="8" t="s">
        <v>37</v>
      </c>
      <c r="O3" s="7" t="s">
        <v>38</v>
      </c>
      <c r="P3" s="8" t="s">
        <v>39</v>
      </c>
      <c r="Q3" s="8" t="s">
        <v>40</v>
      </c>
    </row>
    <row r="4" spans="1:17">
      <c r="A4">
        <v>1994</v>
      </c>
      <c r="B4" s="2">
        <v>40233</v>
      </c>
      <c r="C4" s="2">
        <v>28163.1</v>
      </c>
      <c r="D4" s="2">
        <v>1609.3199999999997</v>
      </c>
      <c r="E4" s="2">
        <v>10460.58</v>
      </c>
      <c r="F4" s="2">
        <v>13567</v>
      </c>
      <c r="G4" s="2">
        <v>11260.61</v>
      </c>
      <c r="H4" s="2">
        <v>407.00999999999976</v>
      </c>
      <c r="I4" s="2">
        <v>1899.38</v>
      </c>
      <c r="J4" s="4">
        <f>B4+F4</f>
        <v>53800</v>
      </c>
      <c r="K4" s="4">
        <f t="shared" ref="K4:M4" si="0">C4+G4</f>
        <v>39423.71</v>
      </c>
      <c r="L4" s="4">
        <f t="shared" si="0"/>
        <v>2016.3299999999995</v>
      </c>
      <c r="M4" s="4">
        <f t="shared" si="0"/>
        <v>12359.96</v>
      </c>
      <c r="N4" s="2">
        <v>40716</v>
      </c>
      <c r="O4" s="4">
        <f>N4-P4-Q4</f>
        <v>25090</v>
      </c>
      <c r="P4" s="2">
        <v>2236</v>
      </c>
      <c r="Q4" s="2">
        <v>13390</v>
      </c>
    </row>
    <row r="5" spans="1:17">
      <c r="A5">
        <v>1995</v>
      </c>
      <c r="B5" s="2">
        <v>41235</v>
      </c>
      <c r="C5" s="2">
        <v>28864.5</v>
      </c>
      <c r="D5" s="2">
        <v>2061.75</v>
      </c>
      <c r="E5" s="2">
        <v>10308.75</v>
      </c>
      <c r="F5" s="2">
        <v>14184</v>
      </c>
      <c r="G5" s="2">
        <v>11914.56</v>
      </c>
      <c r="H5" s="2">
        <v>425.52</v>
      </c>
      <c r="I5" s="2">
        <v>1843.92</v>
      </c>
      <c r="J5" s="4">
        <f t="shared" ref="J5:J22" si="1">B5+F5</f>
        <v>55419</v>
      </c>
      <c r="K5" s="4">
        <f t="shared" ref="K5:K22" si="2">C5+G5</f>
        <v>40779.06</v>
      </c>
      <c r="L5" s="4">
        <f t="shared" ref="L5:L22" si="3">D5+H5</f>
        <v>2487.27</v>
      </c>
      <c r="M5" s="4">
        <f t="shared" ref="M5:M22" si="4">E5+I5</f>
        <v>12152.67</v>
      </c>
      <c r="N5" s="2">
        <v>41817</v>
      </c>
      <c r="O5" s="4">
        <f t="shared" ref="O5:O22" si="5">N5-P5-Q5</f>
        <v>25923</v>
      </c>
      <c r="P5" s="2">
        <v>2416</v>
      </c>
      <c r="Q5" s="2">
        <v>13478</v>
      </c>
    </row>
    <row r="6" spans="1:17">
      <c r="A6">
        <v>1996</v>
      </c>
      <c r="B6" s="2">
        <v>41376</v>
      </c>
      <c r="C6" s="2">
        <v>29376.959999999999</v>
      </c>
      <c r="D6" s="2">
        <v>1655.0400000000009</v>
      </c>
      <c r="E6" s="2">
        <v>10344</v>
      </c>
      <c r="F6" s="2">
        <v>14850</v>
      </c>
      <c r="G6" s="2">
        <v>12474</v>
      </c>
      <c r="H6" s="2">
        <v>445.5</v>
      </c>
      <c r="I6" s="2">
        <v>1930.5</v>
      </c>
      <c r="J6" s="4">
        <f t="shared" si="1"/>
        <v>56226</v>
      </c>
      <c r="K6" s="4">
        <f t="shared" si="2"/>
        <v>41850.959999999999</v>
      </c>
      <c r="L6" s="4">
        <f t="shared" si="3"/>
        <v>2100.5400000000009</v>
      </c>
      <c r="M6" s="4">
        <f t="shared" si="4"/>
        <v>12274.5</v>
      </c>
      <c r="N6" s="2">
        <v>42065</v>
      </c>
      <c r="O6" s="4">
        <f t="shared" si="5"/>
        <v>26199</v>
      </c>
      <c r="P6" s="2">
        <v>2415</v>
      </c>
      <c r="Q6" s="2">
        <v>13451</v>
      </c>
    </row>
    <row r="7" spans="1:17">
      <c r="A7">
        <v>1997</v>
      </c>
      <c r="B7" s="2">
        <v>40954</v>
      </c>
      <c r="C7" s="2">
        <v>29486.879999999997</v>
      </c>
      <c r="D7" s="2">
        <v>1638.1600000000017</v>
      </c>
      <c r="E7" s="2">
        <v>9828.9599999999991</v>
      </c>
      <c r="F7" s="2">
        <v>14954</v>
      </c>
      <c r="G7" s="2">
        <v>12710.900000000001</v>
      </c>
      <c r="H7" s="2">
        <v>448.61999999999989</v>
      </c>
      <c r="I7" s="2">
        <v>1794.48</v>
      </c>
      <c r="J7" s="4">
        <f t="shared" si="1"/>
        <v>55908</v>
      </c>
      <c r="K7" s="4">
        <f t="shared" si="2"/>
        <v>42197.78</v>
      </c>
      <c r="L7" s="4">
        <f t="shared" si="3"/>
        <v>2086.7800000000016</v>
      </c>
      <c r="M7" s="4">
        <f t="shared" si="4"/>
        <v>11623.439999999999</v>
      </c>
      <c r="N7" s="2">
        <v>42013</v>
      </c>
      <c r="O7" s="4">
        <f t="shared" si="5"/>
        <v>27040</v>
      </c>
      <c r="P7" s="2">
        <v>2216</v>
      </c>
      <c r="Q7" s="2">
        <v>12757</v>
      </c>
    </row>
    <row r="8" spans="1:17">
      <c r="A8">
        <v>1998</v>
      </c>
      <c r="B8" s="2">
        <v>40816</v>
      </c>
      <c r="C8" s="2">
        <v>29387.519999999997</v>
      </c>
      <c r="D8" s="2">
        <v>2040.7999999999993</v>
      </c>
      <c r="E8" s="2">
        <v>9387.68</v>
      </c>
      <c r="F8" s="2">
        <v>15089</v>
      </c>
      <c r="G8" s="2">
        <v>12825.65</v>
      </c>
      <c r="H8" s="2">
        <v>452.66999999999985</v>
      </c>
      <c r="I8" s="2">
        <v>1810.68</v>
      </c>
      <c r="J8" s="4">
        <f t="shared" si="1"/>
        <v>55905</v>
      </c>
      <c r="K8" s="4">
        <f t="shared" si="2"/>
        <v>42213.17</v>
      </c>
      <c r="L8" s="4">
        <f t="shared" si="3"/>
        <v>2493.4699999999993</v>
      </c>
      <c r="M8" s="4">
        <f t="shared" si="4"/>
        <v>11198.36</v>
      </c>
      <c r="N8" s="2">
        <v>41501</v>
      </c>
      <c r="O8" s="4">
        <f t="shared" si="5"/>
        <v>26602</v>
      </c>
      <c r="P8" s="2">
        <v>2353</v>
      </c>
      <c r="Q8" s="2">
        <v>12546</v>
      </c>
    </row>
    <row r="9" spans="1:17">
      <c r="A9">
        <v>1999</v>
      </c>
      <c r="B9" s="2">
        <v>41012</v>
      </c>
      <c r="C9" s="2">
        <v>29528.639999999999</v>
      </c>
      <c r="D9" s="2">
        <v>2050.6000000000004</v>
      </c>
      <c r="E9" s="2">
        <v>9432.76</v>
      </c>
      <c r="F9" s="2">
        <v>14835</v>
      </c>
      <c r="G9" s="2">
        <v>12758.099999999999</v>
      </c>
      <c r="H9" s="2">
        <v>296.70000000000005</v>
      </c>
      <c r="I9" s="2">
        <v>1780.2</v>
      </c>
      <c r="J9" s="4">
        <f t="shared" si="1"/>
        <v>55847</v>
      </c>
      <c r="K9" s="4">
        <f t="shared" si="2"/>
        <v>42286.74</v>
      </c>
      <c r="L9" s="4">
        <f t="shared" si="3"/>
        <v>2347.3000000000002</v>
      </c>
      <c r="M9" s="4">
        <f t="shared" si="4"/>
        <v>11212.960000000001</v>
      </c>
      <c r="N9" s="2">
        <v>41717</v>
      </c>
      <c r="O9" s="4">
        <f t="shared" si="5"/>
        <v>26927</v>
      </c>
      <c r="P9" s="2">
        <v>2235</v>
      </c>
      <c r="Q9" s="2">
        <v>12555</v>
      </c>
    </row>
    <row r="10" spans="1:17">
      <c r="A10">
        <v>2000</v>
      </c>
      <c r="B10" s="2">
        <v>41795</v>
      </c>
      <c r="C10" s="2">
        <v>29674.45</v>
      </c>
      <c r="D10" s="2">
        <v>2089.75</v>
      </c>
      <c r="E10" s="2">
        <v>10030.799999999999</v>
      </c>
      <c r="F10" s="2">
        <v>14790</v>
      </c>
      <c r="G10" s="2">
        <v>12423.599999999999</v>
      </c>
      <c r="H10" s="2">
        <v>443.70000000000005</v>
      </c>
      <c r="I10" s="2">
        <v>1922.7</v>
      </c>
      <c r="J10" s="4">
        <f t="shared" si="1"/>
        <v>56585</v>
      </c>
      <c r="K10" s="4">
        <f t="shared" si="2"/>
        <v>42098.05</v>
      </c>
      <c r="L10" s="4">
        <f t="shared" si="3"/>
        <v>2533.4499999999998</v>
      </c>
      <c r="M10" s="4">
        <f t="shared" si="4"/>
        <v>11953.5</v>
      </c>
      <c r="N10" s="2">
        <v>41945</v>
      </c>
      <c r="O10" s="4">
        <f t="shared" si="5"/>
        <v>26199</v>
      </c>
      <c r="P10" s="2">
        <v>2422</v>
      </c>
      <c r="Q10" s="2">
        <v>13324</v>
      </c>
    </row>
    <row r="11" spans="1:17">
      <c r="A11">
        <v>2001</v>
      </c>
      <c r="B11" s="2">
        <v>41901</v>
      </c>
      <c r="C11" s="2">
        <v>29749.71</v>
      </c>
      <c r="D11" s="2">
        <v>2095.0500000000011</v>
      </c>
      <c r="E11" s="2">
        <v>10056.24</v>
      </c>
      <c r="F11" s="2">
        <v>14919</v>
      </c>
      <c r="G11" s="2">
        <v>12681.150000000001</v>
      </c>
      <c r="H11" s="2">
        <v>298.37999999999988</v>
      </c>
      <c r="I11" s="2">
        <v>1939.47</v>
      </c>
      <c r="J11" s="4">
        <f t="shared" si="1"/>
        <v>56820</v>
      </c>
      <c r="K11" s="4">
        <f t="shared" si="2"/>
        <v>42430.86</v>
      </c>
      <c r="L11" s="4">
        <f t="shared" si="3"/>
        <v>2393.4300000000012</v>
      </c>
      <c r="M11" s="4">
        <f t="shared" si="4"/>
        <v>11995.71</v>
      </c>
      <c r="N11" s="2">
        <v>42196</v>
      </c>
      <c r="O11" s="4">
        <f t="shared" si="5"/>
        <v>26465</v>
      </c>
      <c r="P11" s="2">
        <v>2441</v>
      </c>
      <c r="Q11" s="2">
        <v>13290</v>
      </c>
    </row>
    <row r="12" spans="1:17">
      <c r="A12">
        <v>2002</v>
      </c>
      <c r="B12" s="2">
        <v>42377</v>
      </c>
      <c r="C12" s="2">
        <v>30087.67</v>
      </c>
      <c r="D12" s="2">
        <v>1695.08</v>
      </c>
      <c r="E12" s="2">
        <v>10594.25</v>
      </c>
      <c r="F12" s="2">
        <v>14999</v>
      </c>
      <c r="G12" s="2">
        <v>12749.150000000001</v>
      </c>
      <c r="H12" s="2">
        <v>449.9699999999998</v>
      </c>
      <c r="I12" s="2">
        <v>1799.88</v>
      </c>
      <c r="J12" s="4">
        <f t="shared" si="1"/>
        <v>57376</v>
      </c>
      <c r="K12" s="4">
        <f t="shared" si="2"/>
        <v>42836.82</v>
      </c>
      <c r="L12" s="4">
        <f t="shared" si="3"/>
        <v>2145.0499999999997</v>
      </c>
      <c r="M12" s="4">
        <f t="shared" si="4"/>
        <v>12394.130000000001</v>
      </c>
      <c r="N12" s="2">
        <v>43005</v>
      </c>
      <c r="O12" s="4">
        <f t="shared" si="5"/>
        <v>27212</v>
      </c>
      <c r="P12" s="2">
        <v>2321</v>
      </c>
      <c r="Q12" s="2">
        <v>13472</v>
      </c>
    </row>
    <row r="13" spans="1:17">
      <c r="A13">
        <v>2003</v>
      </c>
      <c r="B13" s="2">
        <v>42586</v>
      </c>
      <c r="C13" s="2">
        <v>30661.919999999998</v>
      </c>
      <c r="D13" s="2">
        <v>1703.4400000000005</v>
      </c>
      <c r="E13" s="2">
        <v>10220.64</v>
      </c>
      <c r="F13" s="2">
        <v>15211</v>
      </c>
      <c r="G13" s="2">
        <v>13081.460000000001</v>
      </c>
      <c r="H13" s="2">
        <v>304.22000000000003</v>
      </c>
      <c r="I13" s="2">
        <v>1825.32</v>
      </c>
      <c r="J13" s="4">
        <f t="shared" si="1"/>
        <v>57797</v>
      </c>
      <c r="K13" s="4">
        <f t="shared" si="2"/>
        <v>43743.38</v>
      </c>
      <c r="L13" s="4">
        <f t="shared" si="3"/>
        <v>2007.6600000000005</v>
      </c>
      <c r="M13" s="4">
        <f t="shared" si="4"/>
        <v>12045.96</v>
      </c>
      <c r="N13" s="2">
        <v>42884</v>
      </c>
      <c r="O13" s="4">
        <f t="shared" si="5"/>
        <v>27461</v>
      </c>
      <c r="P13" s="2">
        <v>2327</v>
      </c>
      <c r="Q13" s="2">
        <v>13096</v>
      </c>
    </row>
    <row r="14" spans="1:17">
      <c r="A14">
        <v>2004</v>
      </c>
      <c r="B14" s="2">
        <v>42250</v>
      </c>
      <c r="C14" s="2">
        <v>30420</v>
      </c>
      <c r="D14" s="2">
        <v>1690</v>
      </c>
      <c r="E14" s="2">
        <v>10140</v>
      </c>
      <c r="F14" s="2">
        <v>15384</v>
      </c>
      <c r="G14" s="2">
        <v>13076.4</v>
      </c>
      <c r="H14" s="2">
        <v>461.52</v>
      </c>
      <c r="I14" s="2">
        <v>1846.08</v>
      </c>
      <c r="J14" s="4">
        <f t="shared" si="1"/>
        <v>57634</v>
      </c>
      <c r="K14" s="4">
        <f t="shared" si="2"/>
        <v>43496.4</v>
      </c>
      <c r="L14" s="4">
        <f t="shared" si="3"/>
        <v>2151.52</v>
      </c>
      <c r="M14" s="4">
        <f t="shared" si="4"/>
        <v>11986.08</v>
      </c>
      <c r="N14" s="2">
        <v>42836</v>
      </c>
      <c r="O14" s="4">
        <f t="shared" si="5"/>
        <v>27525</v>
      </c>
      <c r="P14" s="2">
        <v>2212</v>
      </c>
      <c r="Q14" s="2">
        <v>13099</v>
      </c>
    </row>
    <row r="15" spans="1:17">
      <c r="A15">
        <v>2005</v>
      </c>
      <c r="B15" s="2">
        <v>43282</v>
      </c>
      <c r="C15" s="2">
        <v>31163.040000000001</v>
      </c>
      <c r="D15" s="2">
        <v>1731.2799999999988</v>
      </c>
      <c r="E15" s="2">
        <v>10387.68</v>
      </c>
      <c r="F15" s="2">
        <v>15059</v>
      </c>
      <c r="G15" s="2">
        <v>12649.56</v>
      </c>
      <c r="H15" s="2">
        <v>451.77</v>
      </c>
      <c r="I15" s="2">
        <v>1957.67</v>
      </c>
      <c r="J15" s="4">
        <f t="shared" si="1"/>
        <v>58341</v>
      </c>
      <c r="K15" s="4">
        <f t="shared" si="2"/>
        <v>43812.6</v>
      </c>
      <c r="L15" s="4">
        <f t="shared" si="3"/>
        <v>2183.0499999999988</v>
      </c>
      <c r="M15" s="4">
        <f t="shared" si="4"/>
        <v>12345.35</v>
      </c>
      <c r="N15" s="2">
        <v>43510</v>
      </c>
      <c r="O15" s="4">
        <f t="shared" si="5"/>
        <v>27524</v>
      </c>
      <c r="P15" s="2">
        <v>2404</v>
      </c>
      <c r="Q15" s="2">
        <v>13582</v>
      </c>
    </row>
    <row r="16" spans="1:17">
      <c r="A16">
        <v>2006</v>
      </c>
      <c r="B16" s="2">
        <v>42223</v>
      </c>
      <c r="C16" s="2">
        <v>29978.329999999998</v>
      </c>
      <c r="D16" s="2">
        <v>2111.1499999999996</v>
      </c>
      <c r="E16" s="2">
        <v>10133.52</v>
      </c>
      <c r="F16" s="2">
        <v>14753</v>
      </c>
      <c r="G16" s="2">
        <v>12097.46</v>
      </c>
      <c r="H16" s="2">
        <v>442.59000000000015</v>
      </c>
      <c r="I16" s="2">
        <v>2212.9499999999998</v>
      </c>
      <c r="J16" s="4">
        <f t="shared" si="1"/>
        <v>56976</v>
      </c>
      <c r="K16" s="4">
        <f t="shared" si="2"/>
        <v>42075.789999999994</v>
      </c>
      <c r="L16" s="4">
        <f t="shared" si="3"/>
        <v>2553.7399999999998</v>
      </c>
      <c r="M16" s="4">
        <f t="shared" si="4"/>
        <v>12346.470000000001</v>
      </c>
      <c r="N16" s="2">
        <v>42708</v>
      </c>
      <c r="O16" s="4">
        <f t="shared" si="5"/>
        <v>26738</v>
      </c>
      <c r="P16" s="2">
        <v>2479</v>
      </c>
      <c r="Q16" s="2">
        <v>13491</v>
      </c>
    </row>
    <row r="17" spans="1:17">
      <c r="A17">
        <v>2007</v>
      </c>
      <c r="B17" s="2">
        <v>41053</v>
      </c>
      <c r="C17" s="2">
        <v>29147.629999999997</v>
      </c>
      <c r="D17" s="2">
        <v>2052.6500000000015</v>
      </c>
      <c r="E17" s="2">
        <v>9852.7199999999993</v>
      </c>
      <c r="F17" s="2">
        <v>14184</v>
      </c>
      <c r="G17" s="2">
        <v>11914.56</v>
      </c>
      <c r="H17" s="2">
        <v>425.52</v>
      </c>
      <c r="I17" s="2">
        <v>1843.92</v>
      </c>
      <c r="J17" s="4">
        <f t="shared" si="1"/>
        <v>55237</v>
      </c>
      <c r="K17" s="4">
        <f t="shared" si="2"/>
        <v>41062.189999999995</v>
      </c>
      <c r="L17" s="4">
        <f t="shared" si="3"/>
        <v>2478.1700000000014</v>
      </c>
      <c r="M17" s="4">
        <f t="shared" si="4"/>
        <v>11696.64</v>
      </c>
      <c r="N17" s="2">
        <v>41259</v>
      </c>
      <c r="O17" s="4">
        <f t="shared" si="5"/>
        <v>25724</v>
      </c>
      <c r="P17" s="2">
        <v>2494</v>
      </c>
      <c r="Q17" s="2">
        <v>13041</v>
      </c>
    </row>
    <row r="18" spans="1:17">
      <c r="A18">
        <v>2008</v>
      </c>
      <c r="B18" s="2">
        <v>37061</v>
      </c>
      <c r="C18" s="2">
        <v>26313.309999999998</v>
      </c>
      <c r="D18" s="2">
        <v>1482.4400000000005</v>
      </c>
      <c r="E18" s="2">
        <v>9265.25</v>
      </c>
      <c r="F18" s="2">
        <v>12627</v>
      </c>
      <c r="G18" s="2">
        <v>10606.68</v>
      </c>
      <c r="H18" s="2">
        <v>378.80999999999995</v>
      </c>
      <c r="I18" s="2">
        <v>1641.51</v>
      </c>
      <c r="J18" s="4">
        <f t="shared" si="1"/>
        <v>49688</v>
      </c>
      <c r="K18" s="4">
        <f t="shared" si="2"/>
        <v>36919.99</v>
      </c>
      <c r="L18" s="4">
        <f t="shared" si="3"/>
        <v>1861.2500000000005</v>
      </c>
      <c r="M18" s="4">
        <f t="shared" si="4"/>
        <v>10906.76</v>
      </c>
      <c r="N18" s="2">
        <v>37423</v>
      </c>
      <c r="O18" s="4">
        <f t="shared" si="5"/>
        <v>23597</v>
      </c>
      <c r="P18" s="2">
        <v>2115</v>
      </c>
      <c r="Q18" s="2">
        <v>11711</v>
      </c>
    </row>
    <row r="19" spans="1:17">
      <c r="A19">
        <v>2009</v>
      </c>
      <c r="B19" s="2">
        <v>32882</v>
      </c>
      <c r="C19" s="2">
        <v>23017.4</v>
      </c>
      <c r="D19" s="2">
        <v>1644.1000000000004</v>
      </c>
      <c r="E19" s="2">
        <v>8220.5</v>
      </c>
      <c r="F19" s="2">
        <v>11864</v>
      </c>
      <c r="G19" s="2">
        <v>9965.76</v>
      </c>
      <c r="H19" s="2">
        <v>355.92000000000007</v>
      </c>
      <c r="I19" s="2">
        <v>1542.32</v>
      </c>
      <c r="J19" s="4">
        <f t="shared" si="1"/>
        <v>44746</v>
      </c>
      <c r="K19" s="4">
        <f t="shared" si="2"/>
        <v>32983.160000000003</v>
      </c>
      <c r="L19" s="4">
        <f t="shared" si="3"/>
        <v>2000.0200000000004</v>
      </c>
      <c r="M19" s="4">
        <f t="shared" si="4"/>
        <v>9762.82</v>
      </c>
      <c r="N19" s="2">
        <v>33883</v>
      </c>
      <c r="O19" s="4">
        <f t="shared" si="5"/>
        <v>21152</v>
      </c>
      <c r="P19" s="2">
        <v>1972</v>
      </c>
      <c r="Q19" s="2">
        <v>10759</v>
      </c>
    </row>
    <row r="20" spans="1:17">
      <c r="A20">
        <v>2010</v>
      </c>
      <c r="B20" s="2">
        <v>32079</v>
      </c>
      <c r="C20" s="2">
        <v>23096.880000000001</v>
      </c>
      <c r="D20" s="2">
        <v>1283.1600000000008</v>
      </c>
      <c r="E20" s="2">
        <v>7698.96</v>
      </c>
      <c r="F20" s="2">
        <v>11859</v>
      </c>
      <c r="G20" s="2">
        <v>9842.9699999999993</v>
      </c>
      <c r="H20" s="2">
        <v>237.18000000000006</v>
      </c>
      <c r="I20" s="2">
        <v>1778.85</v>
      </c>
      <c r="J20" s="4">
        <f t="shared" si="1"/>
        <v>43938</v>
      </c>
      <c r="K20" s="4">
        <f t="shared" si="2"/>
        <v>32939.85</v>
      </c>
      <c r="L20" s="4">
        <f t="shared" si="3"/>
        <v>1520.3400000000008</v>
      </c>
      <c r="M20" s="4">
        <f t="shared" si="4"/>
        <v>9477.81</v>
      </c>
      <c r="N20" s="2">
        <v>32999</v>
      </c>
      <c r="O20" s="4">
        <f t="shared" si="5"/>
        <v>21092</v>
      </c>
      <c r="P20" s="2">
        <v>1771</v>
      </c>
      <c r="Q20" s="2">
        <v>10136</v>
      </c>
    </row>
    <row r="21" spans="1:17">
      <c r="A21">
        <v>2011</v>
      </c>
      <c r="B21" s="2">
        <v>31918</v>
      </c>
      <c r="C21" s="2">
        <v>22980.959999999999</v>
      </c>
      <c r="D21" s="2">
        <v>1276.7200000000012</v>
      </c>
      <c r="E21" s="2">
        <v>7660.32</v>
      </c>
      <c r="F21" s="2">
        <v>11265</v>
      </c>
      <c r="G21" s="2">
        <v>9462.6</v>
      </c>
      <c r="H21" s="2">
        <v>225.30000000000018</v>
      </c>
      <c r="I21" s="2">
        <v>1577.1</v>
      </c>
      <c r="J21" s="4">
        <f t="shared" si="1"/>
        <v>43183</v>
      </c>
      <c r="K21" s="4">
        <f t="shared" si="2"/>
        <v>32443.559999999998</v>
      </c>
      <c r="L21" s="4">
        <f t="shared" si="3"/>
        <v>1502.0200000000013</v>
      </c>
      <c r="M21" s="4">
        <f t="shared" si="4"/>
        <v>9237.42</v>
      </c>
      <c r="N21" s="2">
        <v>32479</v>
      </c>
      <c r="O21" s="4">
        <f t="shared" si="5"/>
        <v>20952</v>
      </c>
      <c r="P21" s="2">
        <v>1662</v>
      </c>
      <c r="Q21" s="2">
        <v>9865</v>
      </c>
    </row>
    <row r="22" spans="1:17">
      <c r="A22">
        <v>2012</v>
      </c>
      <c r="B22" s="2">
        <v>33124</v>
      </c>
      <c r="C22" s="2">
        <v>23849.279999999999</v>
      </c>
      <c r="D22" s="2">
        <v>1324.9599999999991</v>
      </c>
      <c r="E22" s="2">
        <v>7949.76</v>
      </c>
      <c r="F22" s="2">
        <v>11509</v>
      </c>
      <c r="G22" s="2">
        <v>9667.56</v>
      </c>
      <c r="H22" s="2">
        <v>230.18000000000006</v>
      </c>
      <c r="I22" s="2">
        <v>1611.26</v>
      </c>
      <c r="J22" s="4">
        <f t="shared" si="1"/>
        <v>44633</v>
      </c>
      <c r="K22" s="4">
        <f t="shared" si="2"/>
        <v>33516.839999999997</v>
      </c>
      <c r="L22" s="4">
        <f t="shared" si="3"/>
        <v>1555.1399999999992</v>
      </c>
      <c r="M22" s="4">
        <f t="shared" si="4"/>
        <v>9561.02</v>
      </c>
      <c r="N22" s="2">
        <v>33561</v>
      </c>
      <c r="O22" s="4">
        <f t="shared" si="5"/>
        <v>21520</v>
      </c>
      <c r="P22" s="2">
        <v>1719</v>
      </c>
      <c r="Q22" s="2">
        <v>10322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M74"/>
  <sheetViews>
    <sheetView showGridLines="0" topLeftCell="A51" zoomScale="75" zoomScaleNormal="75" workbookViewId="0">
      <selection activeCell="E35" sqref="E35"/>
    </sheetView>
  </sheetViews>
  <sheetFormatPr defaultColWidth="12.42578125" defaultRowHeight="15.75"/>
  <cols>
    <col min="1" max="1" width="23.7109375" style="10" customWidth="1"/>
    <col min="2" max="2" width="10.42578125" style="10" customWidth="1"/>
    <col min="3" max="3" width="11.5703125" style="10" customWidth="1"/>
    <col min="4" max="4" width="15" style="10" customWidth="1"/>
    <col min="5" max="5" width="13.5703125" style="10" customWidth="1"/>
    <col min="6" max="6" width="15.5703125" style="10" customWidth="1"/>
    <col min="7" max="7" width="9.5703125" style="10" customWidth="1"/>
    <col min="8" max="8" width="13.140625" style="10" customWidth="1"/>
    <col min="9" max="9" width="15.7109375" style="10" customWidth="1"/>
    <col min="10" max="10" width="9.42578125" style="10" customWidth="1"/>
    <col min="11" max="11" width="15.140625" style="10" customWidth="1"/>
    <col min="12" max="12" width="13.28515625" style="10" customWidth="1"/>
    <col min="13" max="13" width="15.5703125" style="10" customWidth="1"/>
    <col min="14" max="256" width="12.42578125" style="10"/>
    <col min="257" max="257" width="23.7109375" style="10" customWidth="1"/>
    <col min="258" max="258" width="10.42578125" style="10" customWidth="1"/>
    <col min="259" max="259" width="11.5703125" style="10" customWidth="1"/>
    <col min="260" max="260" width="15" style="10" customWidth="1"/>
    <col min="261" max="261" width="13.5703125" style="10" customWidth="1"/>
    <col min="262" max="262" width="15.5703125" style="10" customWidth="1"/>
    <col min="263" max="263" width="9.5703125" style="10" customWidth="1"/>
    <col min="264" max="264" width="13.140625" style="10" customWidth="1"/>
    <col min="265" max="265" width="15.7109375" style="10" customWidth="1"/>
    <col min="266" max="266" width="9.42578125" style="10" customWidth="1"/>
    <col min="267" max="267" width="15.140625" style="10" customWidth="1"/>
    <col min="268" max="268" width="13.28515625" style="10" customWidth="1"/>
    <col min="269" max="269" width="15.5703125" style="10" customWidth="1"/>
    <col min="270" max="512" width="12.42578125" style="10"/>
    <col min="513" max="513" width="23.7109375" style="10" customWidth="1"/>
    <col min="514" max="514" width="10.42578125" style="10" customWidth="1"/>
    <col min="515" max="515" width="11.5703125" style="10" customWidth="1"/>
    <col min="516" max="516" width="15" style="10" customWidth="1"/>
    <col min="517" max="517" width="13.5703125" style="10" customWidth="1"/>
    <col min="518" max="518" width="15.5703125" style="10" customWidth="1"/>
    <col min="519" max="519" width="9.5703125" style="10" customWidth="1"/>
    <col min="520" max="520" width="13.140625" style="10" customWidth="1"/>
    <col min="521" max="521" width="15.7109375" style="10" customWidth="1"/>
    <col min="522" max="522" width="9.42578125" style="10" customWidth="1"/>
    <col min="523" max="523" width="15.140625" style="10" customWidth="1"/>
    <col min="524" max="524" width="13.28515625" style="10" customWidth="1"/>
    <col min="525" max="525" width="15.5703125" style="10" customWidth="1"/>
    <col min="526" max="768" width="12.42578125" style="10"/>
    <col min="769" max="769" width="23.7109375" style="10" customWidth="1"/>
    <col min="770" max="770" width="10.42578125" style="10" customWidth="1"/>
    <col min="771" max="771" width="11.5703125" style="10" customWidth="1"/>
    <col min="772" max="772" width="15" style="10" customWidth="1"/>
    <col min="773" max="773" width="13.5703125" style="10" customWidth="1"/>
    <col min="774" max="774" width="15.5703125" style="10" customWidth="1"/>
    <col min="775" max="775" width="9.5703125" style="10" customWidth="1"/>
    <col min="776" max="776" width="13.140625" style="10" customWidth="1"/>
    <col min="777" max="777" width="15.7109375" style="10" customWidth="1"/>
    <col min="778" max="778" width="9.42578125" style="10" customWidth="1"/>
    <col min="779" max="779" width="15.140625" style="10" customWidth="1"/>
    <col min="780" max="780" width="13.28515625" style="10" customWidth="1"/>
    <col min="781" max="781" width="15.5703125" style="10" customWidth="1"/>
    <col min="782" max="1024" width="12.42578125" style="10"/>
    <col min="1025" max="1025" width="23.7109375" style="10" customWidth="1"/>
    <col min="1026" max="1026" width="10.42578125" style="10" customWidth="1"/>
    <col min="1027" max="1027" width="11.5703125" style="10" customWidth="1"/>
    <col min="1028" max="1028" width="15" style="10" customWidth="1"/>
    <col min="1029" max="1029" width="13.5703125" style="10" customWidth="1"/>
    <col min="1030" max="1030" width="15.5703125" style="10" customWidth="1"/>
    <col min="1031" max="1031" width="9.5703125" style="10" customWidth="1"/>
    <col min="1032" max="1032" width="13.140625" style="10" customWidth="1"/>
    <col min="1033" max="1033" width="15.7109375" style="10" customWidth="1"/>
    <col min="1034" max="1034" width="9.42578125" style="10" customWidth="1"/>
    <col min="1035" max="1035" width="15.140625" style="10" customWidth="1"/>
    <col min="1036" max="1036" width="13.28515625" style="10" customWidth="1"/>
    <col min="1037" max="1037" width="15.5703125" style="10" customWidth="1"/>
    <col min="1038" max="1280" width="12.42578125" style="10"/>
    <col min="1281" max="1281" width="23.7109375" style="10" customWidth="1"/>
    <col min="1282" max="1282" width="10.42578125" style="10" customWidth="1"/>
    <col min="1283" max="1283" width="11.5703125" style="10" customWidth="1"/>
    <col min="1284" max="1284" width="15" style="10" customWidth="1"/>
    <col min="1285" max="1285" width="13.5703125" style="10" customWidth="1"/>
    <col min="1286" max="1286" width="15.5703125" style="10" customWidth="1"/>
    <col min="1287" max="1287" width="9.5703125" style="10" customWidth="1"/>
    <col min="1288" max="1288" width="13.140625" style="10" customWidth="1"/>
    <col min="1289" max="1289" width="15.7109375" style="10" customWidth="1"/>
    <col min="1290" max="1290" width="9.42578125" style="10" customWidth="1"/>
    <col min="1291" max="1291" width="15.140625" style="10" customWidth="1"/>
    <col min="1292" max="1292" width="13.28515625" style="10" customWidth="1"/>
    <col min="1293" max="1293" width="15.5703125" style="10" customWidth="1"/>
    <col min="1294" max="1536" width="12.42578125" style="10"/>
    <col min="1537" max="1537" width="23.7109375" style="10" customWidth="1"/>
    <col min="1538" max="1538" width="10.42578125" style="10" customWidth="1"/>
    <col min="1539" max="1539" width="11.5703125" style="10" customWidth="1"/>
    <col min="1540" max="1540" width="15" style="10" customWidth="1"/>
    <col min="1541" max="1541" width="13.5703125" style="10" customWidth="1"/>
    <col min="1542" max="1542" width="15.5703125" style="10" customWidth="1"/>
    <col min="1543" max="1543" width="9.5703125" style="10" customWidth="1"/>
    <col min="1544" max="1544" width="13.140625" style="10" customWidth="1"/>
    <col min="1545" max="1545" width="15.7109375" style="10" customWidth="1"/>
    <col min="1546" max="1546" width="9.42578125" style="10" customWidth="1"/>
    <col min="1547" max="1547" width="15.140625" style="10" customWidth="1"/>
    <col min="1548" max="1548" width="13.28515625" style="10" customWidth="1"/>
    <col min="1549" max="1549" width="15.5703125" style="10" customWidth="1"/>
    <col min="1550" max="1792" width="12.42578125" style="10"/>
    <col min="1793" max="1793" width="23.7109375" style="10" customWidth="1"/>
    <col min="1794" max="1794" width="10.42578125" style="10" customWidth="1"/>
    <col min="1795" max="1795" width="11.5703125" style="10" customWidth="1"/>
    <col min="1796" max="1796" width="15" style="10" customWidth="1"/>
    <col min="1797" max="1797" width="13.5703125" style="10" customWidth="1"/>
    <col min="1798" max="1798" width="15.5703125" style="10" customWidth="1"/>
    <col min="1799" max="1799" width="9.5703125" style="10" customWidth="1"/>
    <col min="1800" max="1800" width="13.140625" style="10" customWidth="1"/>
    <col min="1801" max="1801" width="15.7109375" style="10" customWidth="1"/>
    <col min="1802" max="1802" width="9.42578125" style="10" customWidth="1"/>
    <col min="1803" max="1803" width="15.140625" style="10" customWidth="1"/>
    <col min="1804" max="1804" width="13.28515625" style="10" customWidth="1"/>
    <col min="1805" max="1805" width="15.5703125" style="10" customWidth="1"/>
    <col min="1806" max="2048" width="12.42578125" style="10"/>
    <col min="2049" max="2049" width="23.7109375" style="10" customWidth="1"/>
    <col min="2050" max="2050" width="10.42578125" style="10" customWidth="1"/>
    <col min="2051" max="2051" width="11.5703125" style="10" customWidth="1"/>
    <col min="2052" max="2052" width="15" style="10" customWidth="1"/>
    <col min="2053" max="2053" width="13.5703125" style="10" customWidth="1"/>
    <col min="2054" max="2054" width="15.5703125" style="10" customWidth="1"/>
    <col min="2055" max="2055" width="9.5703125" style="10" customWidth="1"/>
    <col min="2056" max="2056" width="13.140625" style="10" customWidth="1"/>
    <col min="2057" max="2057" width="15.7109375" style="10" customWidth="1"/>
    <col min="2058" max="2058" width="9.42578125" style="10" customWidth="1"/>
    <col min="2059" max="2059" width="15.140625" style="10" customWidth="1"/>
    <col min="2060" max="2060" width="13.28515625" style="10" customWidth="1"/>
    <col min="2061" max="2061" width="15.5703125" style="10" customWidth="1"/>
    <col min="2062" max="2304" width="12.42578125" style="10"/>
    <col min="2305" max="2305" width="23.7109375" style="10" customWidth="1"/>
    <col min="2306" max="2306" width="10.42578125" style="10" customWidth="1"/>
    <col min="2307" max="2307" width="11.5703125" style="10" customWidth="1"/>
    <col min="2308" max="2308" width="15" style="10" customWidth="1"/>
    <col min="2309" max="2309" width="13.5703125" style="10" customWidth="1"/>
    <col min="2310" max="2310" width="15.5703125" style="10" customWidth="1"/>
    <col min="2311" max="2311" width="9.5703125" style="10" customWidth="1"/>
    <col min="2312" max="2312" width="13.140625" style="10" customWidth="1"/>
    <col min="2313" max="2313" width="15.7109375" style="10" customWidth="1"/>
    <col min="2314" max="2314" width="9.42578125" style="10" customWidth="1"/>
    <col min="2315" max="2315" width="15.140625" style="10" customWidth="1"/>
    <col min="2316" max="2316" width="13.28515625" style="10" customWidth="1"/>
    <col min="2317" max="2317" width="15.5703125" style="10" customWidth="1"/>
    <col min="2318" max="2560" width="12.42578125" style="10"/>
    <col min="2561" max="2561" width="23.7109375" style="10" customWidth="1"/>
    <col min="2562" max="2562" width="10.42578125" style="10" customWidth="1"/>
    <col min="2563" max="2563" width="11.5703125" style="10" customWidth="1"/>
    <col min="2564" max="2564" width="15" style="10" customWidth="1"/>
    <col min="2565" max="2565" width="13.5703125" style="10" customWidth="1"/>
    <col min="2566" max="2566" width="15.5703125" style="10" customWidth="1"/>
    <col min="2567" max="2567" width="9.5703125" style="10" customWidth="1"/>
    <col min="2568" max="2568" width="13.140625" style="10" customWidth="1"/>
    <col min="2569" max="2569" width="15.7109375" style="10" customWidth="1"/>
    <col min="2570" max="2570" width="9.42578125" style="10" customWidth="1"/>
    <col min="2571" max="2571" width="15.140625" style="10" customWidth="1"/>
    <col min="2572" max="2572" width="13.28515625" style="10" customWidth="1"/>
    <col min="2573" max="2573" width="15.5703125" style="10" customWidth="1"/>
    <col min="2574" max="2816" width="12.42578125" style="10"/>
    <col min="2817" max="2817" width="23.7109375" style="10" customWidth="1"/>
    <col min="2818" max="2818" width="10.42578125" style="10" customWidth="1"/>
    <col min="2819" max="2819" width="11.5703125" style="10" customWidth="1"/>
    <col min="2820" max="2820" width="15" style="10" customWidth="1"/>
    <col min="2821" max="2821" width="13.5703125" style="10" customWidth="1"/>
    <col min="2822" max="2822" width="15.5703125" style="10" customWidth="1"/>
    <col min="2823" max="2823" width="9.5703125" style="10" customWidth="1"/>
    <col min="2824" max="2824" width="13.140625" style="10" customWidth="1"/>
    <col min="2825" max="2825" width="15.7109375" style="10" customWidth="1"/>
    <col min="2826" max="2826" width="9.42578125" style="10" customWidth="1"/>
    <col min="2827" max="2827" width="15.140625" style="10" customWidth="1"/>
    <col min="2828" max="2828" width="13.28515625" style="10" customWidth="1"/>
    <col min="2829" max="2829" width="15.5703125" style="10" customWidth="1"/>
    <col min="2830" max="3072" width="12.42578125" style="10"/>
    <col min="3073" max="3073" width="23.7109375" style="10" customWidth="1"/>
    <col min="3074" max="3074" width="10.42578125" style="10" customWidth="1"/>
    <col min="3075" max="3075" width="11.5703125" style="10" customWidth="1"/>
    <col min="3076" max="3076" width="15" style="10" customWidth="1"/>
    <col min="3077" max="3077" width="13.5703125" style="10" customWidth="1"/>
    <col min="3078" max="3078" width="15.5703125" style="10" customWidth="1"/>
    <col min="3079" max="3079" width="9.5703125" style="10" customWidth="1"/>
    <col min="3080" max="3080" width="13.140625" style="10" customWidth="1"/>
    <col min="3081" max="3081" width="15.7109375" style="10" customWidth="1"/>
    <col min="3082" max="3082" width="9.42578125" style="10" customWidth="1"/>
    <col min="3083" max="3083" width="15.140625" style="10" customWidth="1"/>
    <col min="3084" max="3084" width="13.28515625" style="10" customWidth="1"/>
    <col min="3085" max="3085" width="15.5703125" style="10" customWidth="1"/>
    <col min="3086" max="3328" width="12.42578125" style="10"/>
    <col min="3329" max="3329" width="23.7109375" style="10" customWidth="1"/>
    <col min="3330" max="3330" width="10.42578125" style="10" customWidth="1"/>
    <col min="3331" max="3331" width="11.5703125" style="10" customWidth="1"/>
    <col min="3332" max="3332" width="15" style="10" customWidth="1"/>
    <col min="3333" max="3333" width="13.5703125" style="10" customWidth="1"/>
    <col min="3334" max="3334" width="15.5703125" style="10" customWidth="1"/>
    <col min="3335" max="3335" width="9.5703125" style="10" customWidth="1"/>
    <col min="3336" max="3336" width="13.140625" style="10" customWidth="1"/>
    <col min="3337" max="3337" width="15.7109375" style="10" customWidth="1"/>
    <col min="3338" max="3338" width="9.42578125" style="10" customWidth="1"/>
    <col min="3339" max="3339" width="15.140625" style="10" customWidth="1"/>
    <col min="3340" max="3340" width="13.28515625" style="10" customWidth="1"/>
    <col min="3341" max="3341" width="15.5703125" style="10" customWidth="1"/>
    <col min="3342" max="3584" width="12.42578125" style="10"/>
    <col min="3585" max="3585" width="23.7109375" style="10" customWidth="1"/>
    <col min="3586" max="3586" width="10.42578125" style="10" customWidth="1"/>
    <col min="3587" max="3587" width="11.5703125" style="10" customWidth="1"/>
    <col min="3588" max="3588" width="15" style="10" customWidth="1"/>
    <col min="3589" max="3589" width="13.5703125" style="10" customWidth="1"/>
    <col min="3590" max="3590" width="15.5703125" style="10" customWidth="1"/>
    <col min="3591" max="3591" width="9.5703125" style="10" customWidth="1"/>
    <col min="3592" max="3592" width="13.140625" style="10" customWidth="1"/>
    <col min="3593" max="3593" width="15.7109375" style="10" customWidth="1"/>
    <col min="3594" max="3594" width="9.42578125" style="10" customWidth="1"/>
    <col min="3595" max="3595" width="15.140625" style="10" customWidth="1"/>
    <col min="3596" max="3596" width="13.28515625" style="10" customWidth="1"/>
    <col min="3597" max="3597" width="15.5703125" style="10" customWidth="1"/>
    <col min="3598" max="3840" width="12.42578125" style="10"/>
    <col min="3841" max="3841" width="23.7109375" style="10" customWidth="1"/>
    <col min="3842" max="3842" width="10.42578125" style="10" customWidth="1"/>
    <col min="3843" max="3843" width="11.5703125" style="10" customWidth="1"/>
    <col min="3844" max="3844" width="15" style="10" customWidth="1"/>
    <col min="3845" max="3845" width="13.5703125" style="10" customWidth="1"/>
    <col min="3846" max="3846" width="15.5703125" style="10" customWidth="1"/>
    <col min="3847" max="3847" width="9.5703125" style="10" customWidth="1"/>
    <col min="3848" max="3848" width="13.140625" style="10" customWidth="1"/>
    <col min="3849" max="3849" width="15.7109375" style="10" customWidth="1"/>
    <col min="3850" max="3850" width="9.42578125" style="10" customWidth="1"/>
    <col min="3851" max="3851" width="15.140625" style="10" customWidth="1"/>
    <col min="3852" max="3852" width="13.28515625" style="10" customWidth="1"/>
    <col min="3853" max="3853" width="15.5703125" style="10" customWidth="1"/>
    <col min="3854" max="4096" width="12.42578125" style="10"/>
    <col min="4097" max="4097" width="23.7109375" style="10" customWidth="1"/>
    <col min="4098" max="4098" width="10.42578125" style="10" customWidth="1"/>
    <col min="4099" max="4099" width="11.5703125" style="10" customWidth="1"/>
    <col min="4100" max="4100" width="15" style="10" customWidth="1"/>
    <col min="4101" max="4101" width="13.5703125" style="10" customWidth="1"/>
    <col min="4102" max="4102" width="15.5703125" style="10" customWidth="1"/>
    <col min="4103" max="4103" width="9.5703125" style="10" customWidth="1"/>
    <col min="4104" max="4104" width="13.140625" style="10" customWidth="1"/>
    <col min="4105" max="4105" width="15.7109375" style="10" customWidth="1"/>
    <col min="4106" max="4106" width="9.42578125" style="10" customWidth="1"/>
    <col min="4107" max="4107" width="15.140625" style="10" customWidth="1"/>
    <col min="4108" max="4108" width="13.28515625" style="10" customWidth="1"/>
    <col min="4109" max="4109" width="15.5703125" style="10" customWidth="1"/>
    <col min="4110" max="4352" width="12.42578125" style="10"/>
    <col min="4353" max="4353" width="23.7109375" style="10" customWidth="1"/>
    <col min="4354" max="4354" width="10.42578125" style="10" customWidth="1"/>
    <col min="4355" max="4355" width="11.5703125" style="10" customWidth="1"/>
    <col min="4356" max="4356" width="15" style="10" customWidth="1"/>
    <col min="4357" max="4357" width="13.5703125" style="10" customWidth="1"/>
    <col min="4358" max="4358" width="15.5703125" style="10" customWidth="1"/>
    <col min="4359" max="4359" width="9.5703125" style="10" customWidth="1"/>
    <col min="4360" max="4360" width="13.140625" style="10" customWidth="1"/>
    <col min="4361" max="4361" width="15.7109375" style="10" customWidth="1"/>
    <col min="4362" max="4362" width="9.42578125" style="10" customWidth="1"/>
    <col min="4363" max="4363" width="15.140625" style="10" customWidth="1"/>
    <col min="4364" max="4364" width="13.28515625" style="10" customWidth="1"/>
    <col min="4365" max="4365" width="15.5703125" style="10" customWidth="1"/>
    <col min="4366" max="4608" width="12.42578125" style="10"/>
    <col min="4609" max="4609" width="23.7109375" style="10" customWidth="1"/>
    <col min="4610" max="4610" width="10.42578125" style="10" customWidth="1"/>
    <col min="4611" max="4611" width="11.5703125" style="10" customWidth="1"/>
    <col min="4612" max="4612" width="15" style="10" customWidth="1"/>
    <col min="4613" max="4613" width="13.5703125" style="10" customWidth="1"/>
    <col min="4614" max="4614" width="15.5703125" style="10" customWidth="1"/>
    <col min="4615" max="4615" width="9.5703125" style="10" customWidth="1"/>
    <col min="4616" max="4616" width="13.140625" style="10" customWidth="1"/>
    <col min="4617" max="4617" width="15.7109375" style="10" customWidth="1"/>
    <col min="4618" max="4618" width="9.42578125" style="10" customWidth="1"/>
    <col min="4619" max="4619" width="15.140625" style="10" customWidth="1"/>
    <col min="4620" max="4620" width="13.28515625" style="10" customWidth="1"/>
    <col min="4621" max="4621" width="15.5703125" style="10" customWidth="1"/>
    <col min="4622" max="4864" width="12.42578125" style="10"/>
    <col min="4865" max="4865" width="23.7109375" style="10" customWidth="1"/>
    <col min="4866" max="4866" width="10.42578125" style="10" customWidth="1"/>
    <col min="4867" max="4867" width="11.5703125" style="10" customWidth="1"/>
    <col min="4868" max="4868" width="15" style="10" customWidth="1"/>
    <col min="4869" max="4869" width="13.5703125" style="10" customWidth="1"/>
    <col min="4870" max="4870" width="15.5703125" style="10" customWidth="1"/>
    <col min="4871" max="4871" width="9.5703125" style="10" customWidth="1"/>
    <col min="4872" max="4872" width="13.140625" style="10" customWidth="1"/>
    <col min="4873" max="4873" width="15.7109375" style="10" customWidth="1"/>
    <col min="4874" max="4874" width="9.42578125" style="10" customWidth="1"/>
    <col min="4875" max="4875" width="15.140625" style="10" customWidth="1"/>
    <col min="4876" max="4876" width="13.28515625" style="10" customWidth="1"/>
    <col min="4877" max="4877" width="15.5703125" style="10" customWidth="1"/>
    <col min="4878" max="5120" width="12.42578125" style="10"/>
    <col min="5121" max="5121" width="23.7109375" style="10" customWidth="1"/>
    <col min="5122" max="5122" width="10.42578125" style="10" customWidth="1"/>
    <col min="5123" max="5123" width="11.5703125" style="10" customWidth="1"/>
    <col min="5124" max="5124" width="15" style="10" customWidth="1"/>
    <col min="5125" max="5125" width="13.5703125" style="10" customWidth="1"/>
    <col min="5126" max="5126" width="15.5703125" style="10" customWidth="1"/>
    <col min="5127" max="5127" width="9.5703125" style="10" customWidth="1"/>
    <col min="5128" max="5128" width="13.140625" style="10" customWidth="1"/>
    <col min="5129" max="5129" width="15.7109375" style="10" customWidth="1"/>
    <col min="5130" max="5130" width="9.42578125" style="10" customWidth="1"/>
    <col min="5131" max="5131" width="15.140625" style="10" customWidth="1"/>
    <col min="5132" max="5132" width="13.28515625" style="10" customWidth="1"/>
    <col min="5133" max="5133" width="15.5703125" style="10" customWidth="1"/>
    <col min="5134" max="5376" width="12.42578125" style="10"/>
    <col min="5377" max="5377" width="23.7109375" style="10" customWidth="1"/>
    <col min="5378" max="5378" width="10.42578125" style="10" customWidth="1"/>
    <col min="5379" max="5379" width="11.5703125" style="10" customWidth="1"/>
    <col min="5380" max="5380" width="15" style="10" customWidth="1"/>
    <col min="5381" max="5381" width="13.5703125" style="10" customWidth="1"/>
    <col min="5382" max="5382" width="15.5703125" style="10" customWidth="1"/>
    <col min="5383" max="5383" width="9.5703125" style="10" customWidth="1"/>
    <col min="5384" max="5384" width="13.140625" style="10" customWidth="1"/>
    <col min="5385" max="5385" width="15.7109375" style="10" customWidth="1"/>
    <col min="5386" max="5386" width="9.42578125" style="10" customWidth="1"/>
    <col min="5387" max="5387" width="15.140625" style="10" customWidth="1"/>
    <col min="5388" max="5388" width="13.28515625" style="10" customWidth="1"/>
    <col min="5389" max="5389" width="15.5703125" style="10" customWidth="1"/>
    <col min="5390" max="5632" width="12.42578125" style="10"/>
    <col min="5633" max="5633" width="23.7109375" style="10" customWidth="1"/>
    <col min="5634" max="5634" width="10.42578125" style="10" customWidth="1"/>
    <col min="5635" max="5635" width="11.5703125" style="10" customWidth="1"/>
    <col min="5636" max="5636" width="15" style="10" customWidth="1"/>
    <col min="5637" max="5637" width="13.5703125" style="10" customWidth="1"/>
    <col min="5638" max="5638" width="15.5703125" style="10" customWidth="1"/>
    <col min="5639" max="5639" width="9.5703125" style="10" customWidth="1"/>
    <col min="5640" max="5640" width="13.140625" style="10" customWidth="1"/>
    <col min="5641" max="5641" width="15.7109375" style="10" customWidth="1"/>
    <col min="5642" max="5642" width="9.42578125" style="10" customWidth="1"/>
    <col min="5643" max="5643" width="15.140625" style="10" customWidth="1"/>
    <col min="5644" max="5644" width="13.28515625" style="10" customWidth="1"/>
    <col min="5645" max="5645" width="15.5703125" style="10" customWidth="1"/>
    <col min="5646" max="5888" width="12.42578125" style="10"/>
    <col min="5889" max="5889" width="23.7109375" style="10" customWidth="1"/>
    <col min="5890" max="5890" width="10.42578125" style="10" customWidth="1"/>
    <col min="5891" max="5891" width="11.5703125" style="10" customWidth="1"/>
    <col min="5892" max="5892" width="15" style="10" customWidth="1"/>
    <col min="5893" max="5893" width="13.5703125" style="10" customWidth="1"/>
    <col min="5894" max="5894" width="15.5703125" style="10" customWidth="1"/>
    <col min="5895" max="5895" width="9.5703125" style="10" customWidth="1"/>
    <col min="5896" max="5896" width="13.140625" style="10" customWidth="1"/>
    <col min="5897" max="5897" width="15.7109375" style="10" customWidth="1"/>
    <col min="5898" max="5898" width="9.42578125" style="10" customWidth="1"/>
    <col min="5899" max="5899" width="15.140625" style="10" customWidth="1"/>
    <col min="5900" max="5900" width="13.28515625" style="10" customWidth="1"/>
    <col min="5901" max="5901" width="15.5703125" style="10" customWidth="1"/>
    <col min="5902" max="6144" width="12.42578125" style="10"/>
    <col min="6145" max="6145" width="23.7109375" style="10" customWidth="1"/>
    <col min="6146" max="6146" width="10.42578125" style="10" customWidth="1"/>
    <col min="6147" max="6147" width="11.5703125" style="10" customWidth="1"/>
    <col min="6148" max="6148" width="15" style="10" customWidth="1"/>
    <col min="6149" max="6149" width="13.5703125" style="10" customWidth="1"/>
    <col min="6150" max="6150" width="15.5703125" style="10" customWidth="1"/>
    <col min="6151" max="6151" width="9.5703125" style="10" customWidth="1"/>
    <col min="6152" max="6152" width="13.140625" style="10" customWidth="1"/>
    <col min="6153" max="6153" width="15.7109375" style="10" customWidth="1"/>
    <col min="6154" max="6154" width="9.42578125" style="10" customWidth="1"/>
    <col min="6155" max="6155" width="15.140625" style="10" customWidth="1"/>
    <col min="6156" max="6156" width="13.28515625" style="10" customWidth="1"/>
    <col min="6157" max="6157" width="15.5703125" style="10" customWidth="1"/>
    <col min="6158" max="6400" width="12.42578125" style="10"/>
    <col min="6401" max="6401" width="23.7109375" style="10" customWidth="1"/>
    <col min="6402" max="6402" width="10.42578125" style="10" customWidth="1"/>
    <col min="6403" max="6403" width="11.5703125" style="10" customWidth="1"/>
    <col min="6404" max="6404" width="15" style="10" customWidth="1"/>
    <col min="6405" max="6405" width="13.5703125" style="10" customWidth="1"/>
    <col min="6406" max="6406" width="15.5703125" style="10" customWidth="1"/>
    <col min="6407" max="6407" width="9.5703125" style="10" customWidth="1"/>
    <col min="6408" max="6408" width="13.140625" style="10" customWidth="1"/>
    <col min="6409" max="6409" width="15.7109375" style="10" customWidth="1"/>
    <col min="6410" max="6410" width="9.42578125" style="10" customWidth="1"/>
    <col min="6411" max="6411" width="15.140625" style="10" customWidth="1"/>
    <col min="6412" max="6412" width="13.28515625" style="10" customWidth="1"/>
    <col min="6413" max="6413" width="15.5703125" style="10" customWidth="1"/>
    <col min="6414" max="6656" width="12.42578125" style="10"/>
    <col min="6657" max="6657" width="23.7109375" style="10" customWidth="1"/>
    <col min="6658" max="6658" width="10.42578125" style="10" customWidth="1"/>
    <col min="6659" max="6659" width="11.5703125" style="10" customWidth="1"/>
    <col min="6660" max="6660" width="15" style="10" customWidth="1"/>
    <col min="6661" max="6661" width="13.5703125" style="10" customWidth="1"/>
    <col min="6662" max="6662" width="15.5703125" style="10" customWidth="1"/>
    <col min="6663" max="6663" width="9.5703125" style="10" customWidth="1"/>
    <col min="6664" max="6664" width="13.140625" style="10" customWidth="1"/>
    <col min="6665" max="6665" width="15.7109375" style="10" customWidth="1"/>
    <col min="6666" max="6666" width="9.42578125" style="10" customWidth="1"/>
    <col min="6667" max="6667" width="15.140625" style="10" customWidth="1"/>
    <col min="6668" max="6668" width="13.28515625" style="10" customWidth="1"/>
    <col min="6669" max="6669" width="15.5703125" style="10" customWidth="1"/>
    <col min="6670" max="6912" width="12.42578125" style="10"/>
    <col min="6913" max="6913" width="23.7109375" style="10" customWidth="1"/>
    <col min="6914" max="6914" width="10.42578125" style="10" customWidth="1"/>
    <col min="6915" max="6915" width="11.5703125" style="10" customWidth="1"/>
    <col min="6916" max="6916" width="15" style="10" customWidth="1"/>
    <col min="6917" max="6917" width="13.5703125" style="10" customWidth="1"/>
    <col min="6918" max="6918" width="15.5703125" style="10" customWidth="1"/>
    <col min="6919" max="6919" width="9.5703125" style="10" customWidth="1"/>
    <col min="6920" max="6920" width="13.140625" style="10" customWidth="1"/>
    <col min="6921" max="6921" width="15.7109375" style="10" customWidth="1"/>
    <col min="6922" max="6922" width="9.42578125" style="10" customWidth="1"/>
    <col min="6923" max="6923" width="15.140625" style="10" customWidth="1"/>
    <col min="6924" max="6924" width="13.28515625" style="10" customWidth="1"/>
    <col min="6925" max="6925" width="15.5703125" style="10" customWidth="1"/>
    <col min="6926" max="7168" width="12.42578125" style="10"/>
    <col min="7169" max="7169" width="23.7109375" style="10" customWidth="1"/>
    <col min="7170" max="7170" width="10.42578125" style="10" customWidth="1"/>
    <col min="7171" max="7171" width="11.5703125" style="10" customWidth="1"/>
    <col min="7172" max="7172" width="15" style="10" customWidth="1"/>
    <col min="7173" max="7173" width="13.5703125" style="10" customWidth="1"/>
    <col min="7174" max="7174" width="15.5703125" style="10" customWidth="1"/>
    <col min="7175" max="7175" width="9.5703125" style="10" customWidth="1"/>
    <col min="7176" max="7176" width="13.140625" style="10" customWidth="1"/>
    <col min="7177" max="7177" width="15.7109375" style="10" customWidth="1"/>
    <col min="7178" max="7178" width="9.42578125" style="10" customWidth="1"/>
    <col min="7179" max="7179" width="15.140625" style="10" customWidth="1"/>
    <col min="7180" max="7180" width="13.28515625" style="10" customWidth="1"/>
    <col min="7181" max="7181" width="15.5703125" style="10" customWidth="1"/>
    <col min="7182" max="7424" width="12.42578125" style="10"/>
    <col min="7425" max="7425" width="23.7109375" style="10" customWidth="1"/>
    <col min="7426" max="7426" width="10.42578125" style="10" customWidth="1"/>
    <col min="7427" max="7427" width="11.5703125" style="10" customWidth="1"/>
    <col min="7428" max="7428" width="15" style="10" customWidth="1"/>
    <col min="7429" max="7429" width="13.5703125" style="10" customWidth="1"/>
    <col min="7430" max="7430" width="15.5703125" style="10" customWidth="1"/>
    <col min="7431" max="7431" width="9.5703125" style="10" customWidth="1"/>
    <col min="7432" max="7432" width="13.140625" style="10" customWidth="1"/>
    <col min="7433" max="7433" width="15.7109375" style="10" customWidth="1"/>
    <col min="7434" max="7434" width="9.42578125" style="10" customWidth="1"/>
    <col min="7435" max="7435" width="15.140625" style="10" customWidth="1"/>
    <col min="7436" max="7436" width="13.28515625" style="10" customWidth="1"/>
    <col min="7437" max="7437" width="15.5703125" style="10" customWidth="1"/>
    <col min="7438" max="7680" width="12.42578125" style="10"/>
    <col min="7681" max="7681" width="23.7109375" style="10" customWidth="1"/>
    <col min="7682" max="7682" width="10.42578125" style="10" customWidth="1"/>
    <col min="7683" max="7683" width="11.5703125" style="10" customWidth="1"/>
    <col min="7684" max="7684" width="15" style="10" customWidth="1"/>
    <col min="7685" max="7685" width="13.5703125" style="10" customWidth="1"/>
    <col min="7686" max="7686" width="15.5703125" style="10" customWidth="1"/>
    <col min="7687" max="7687" width="9.5703125" style="10" customWidth="1"/>
    <col min="7688" max="7688" width="13.140625" style="10" customWidth="1"/>
    <col min="7689" max="7689" width="15.7109375" style="10" customWidth="1"/>
    <col min="7690" max="7690" width="9.42578125" style="10" customWidth="1"/>
    <col min="7691" max="7691" width="15.140625" style="10" customWidth="1"/>
    <col min="7692" max="7692" width="13.28515625" style="10" customWidth="1"/>
    <col min="7693" max="7693" width="15.5703125" style="10" customWidth="1"/>
    <col min="7694" max="7936" width="12.42578125" style="10"/>
    <col min="7937" max="7937" width="23.7109375" style="10" customWidth="1"/>
    <col min="7938" max="7938" width="10.42578125" style="10" customWidth="1"/>
    <col min="7939" max="7939" width="11.5703125" style="10" customWidth="1"/>
    <col min="7940" max="7940" width="15" style="10" customWidth="1"/>
    <col min="7941" max="7941" width="13.5703125" style="10" customWidth="1"/>
    <col min="7942" max="7942" width="15.5703125" style="10" customWidth="1"/>
    <col min="7943" max="7943" width="9.5703125" style="10" customWidth="1"/>
    <col min="7944" max="7944" width="13.140625" style="10" customWidth="1"/>
    <col min="7945" max="7945" width="15.7109375" style="10" customWidth="1"/>
    <col min="7946" max="7946" width="9.42578125" style="10" customWidth="1"/>
    <col min="7947" max="7947" width="15.140625" style="10" customWidth="1"/>
    <col min="7948" max="7948" width="13.28515625" style="10" customWidth="1"/>
    <col min="7949" max="7949" width="15.5703125" style="10" customWidth="1"/>
    <col min="7950" max="8192" width="12.42578125" style="10"/>
    <col min="8193" max="8193" width="23.7109375" style="10" customWidth="1"/>
    <col min="8194" max="8194" width="10.42578125" style="10" customWidth="1"/>
    <col min="8195" max="8195" width="11.5703125" style="10" customWidth="1"/>
    <col min="8196" max="8196" width="15" style="10" customWidth="1"/>
    <col min="8197" max="8197" width="13.5703125" style="10" customWidth="1"/>
    <col min="8198" max="8198" width="15.5703125" style="10" customWidth="1"/>
    <col min="8199" max="8199" width="9.5703125" style="10" customWidth="1"/>
    <col min="8200" max="8200" width="13.140625" style="10" customWidth="1"/>
    <col min="8201" max="8201" width="15.7109375" style="10" customWidth="1"/>
    <col min="8202" max="8202" width="9.42578125" style="10" customWidth="1"/>
    <col min="8203" max="8203" width="15.140625" style="10" customWidth="1"/>
    <col min="8204" max="8204" width="13.28515625" style="10" customWidth="1"/>
    <col min="8205" max="8205" width="15.5703125" style="10" customWidth="1"/>
    <col min="8206" max="8448" width="12.42578125" style="10"/>
    <col min="8449" max="8449" width="23.7109375" style="10" customWidth="1"/>
    <col min="8450" max="8450" width="10.42578125" style="10" customWidth="1"/>
    <col min="8451" max="8451" width="11.5703125" style="10" customWidth="1"/>
    <col min="8452" max="8452" width="15" style="10" customWidth="1"/>
    <col min="8453" max="8453" width="13.5703125" style="10" customWidth="1"/>
    <col min="8454" max="8454" width="15.5703125" style="10" customWidth="1"/>
    <col min="8455" max="8455" width="9.5703125" style="10" customWidth="1"/>
    <col min="8456" max="8456" width="13.140625" style="10" customWidth="1"/>
    <col min="8457" max="8457" width="15.7109375" style="10" customWidth="1"/>
    <col min="8458" max="8458" width="9.42578125" style="10" customWidth="1"/>
    <col min="8459" max="8459" width="15.140625" style="10" customWidth="1"/>
    <col min="8460" max="8460" width="13.28515625" style="10" customWidth="1"/>
    <col min="8461" max="8461" width="15.5703125" style="10" customWidth="1"/>
    <col min="8462" max="8704" width="12.42578125" style="10"/>
    <col min="8705" max="8705" width="23.7109375" style="10" customWidth="1"/>
    <col min="8706" max="8706" width="10.42578125" style="10" customWidth="1"/>
    <col min="8707" max="8707" width="11.5703125" style="10" customWidth="1"/>
    <col min="8708" max="8708" width="15" style="10" customWidth="1"/>
    <col min="8709" max="8709" width="13.5703125" style="10" customWidth="1"/>
    <col min="8710" max="8710" width="15.5703125" style="10" customWidth="1"/>
    <col min="8711" max="8711" width="9.5703125" style="10" customWidth="1"/>
    <col min="8712" max="8712" width="13.140625" style="10" customWidth="1"/>
    <col min="8713" max="8713" width="15.7109375" style="10" customWidth="1"/>
    <col min="8714" max="8714" width="9.42578125" style="10" customWidth="1"/>
    <col min="8715" max="8715" width="15.140625" style="10" customWidth="1"/>
    <col min="8716" max="8716" width="13.28515625" style="10" customWidth="1"/>
    <col min="8717" max="8717" width="15.5703125" style="10" customWidth="1"/>
    <col min="8718" max="8960" width="12.42578125" style="10"/>
    <col min="8961" max="8961" width="23.7109375" style="10" customWidth="1"/>
    <col min="8962" max="8962" width="10.42578125" style="10" customWidth="1"/>
    <col min="8963" max="8963" width="11.5703125" style="10" customWidth="1"/>
    <col min="8964" max="8964" width="15" style="10" customWidth="1"/>
    <col min="8965" max="8965" width="13.5703125" style="10" customWidth="1"/>
    <col min="8966" max="8966" width="15.5703125" style="10" customWidth="1"/>
    <col min="8967" max="8967" width="9.5703125" style="10" customWidth="1"/>
    <col min="8968" max="8968" width="13.140625" style="10" customWidth="1"/>
    <col min="8969" max="8969" width="15.7109375" style="10" customWidth="1"/>
    <col min="8970" max="8970" width="9.42578125" style="10" customWidth="1"/>
    <col min="8971" max="8971" width="15.140625" style="10" customWidth="1"/>
    <col min="8972" max="8972" width="13.28515625" style="10" customWidth="1"/>
    <col min="8973" max="8973" width="15.5703125" style="10" customWidth="1"/>
    <col min="8974" max="9216" width="12.42578125" style="10"/>
    <col min="9217" max="9217" width="23.7109375" style="10" customWidth="1"/>
    <col min="9218" max="9218" width="10.42578125" style="10" customWidth="1"/>
    <col min="9219" max="9219" width="11.5703125" style="10" customWidth="1"/>
    <col min="9220" max="9220" width="15" style="10" customWidth="1"/>
    <col min="9221" max="9221" width="13.5703125" style="10" customWidth="1"/>
    <col min="9222" max="9222" width="15.5703125" style="10" customWidth="1"/>
    <col min="9223" max="9223" width="9.5703125" style="10" customWidth="1"/>
    <col min="9224" max="9224" width="13.140625" style="10" customWidth="1"/>
    <col min="9225" max="9225" width="15.7109375" style="10" customWidth="1"/>
    <col min="9226" max="9226" width="9.42578125" style="10" customWidth="1"/>
    <col min="9227" max="9227" width="15.140625" style="10" customWidth="1"/>
    <col min="9228" max="9228" width="13.28515625" style="10" customWidth="1"/>
    <col min="9229" max="9229" width="15.5703125" style="10" customWidth="1"/>
    <col min="9230" max="9472" width="12.42578125" style="10"/>
    <col min="9473" max="9473" width="23.7109375" style="10" customWidth="1"/>
    <col min="9474" max="9474" width="10.42578125" style="10" customWidth="1"/>
    <col min="9475" max="9475" width="11.5703125" style="10" customWidth="1"/>
    <col min="9476" max="9476" width="15" style="10" customWidth="1"/>
    <col min="9477" max="9477" width="13.5703125" style="10" customWidth="1"/>
    <col min="9478" max="9478" width="15.5703125" style="10" customWidth="1"/>
    <col min="9479" max="9479" width="9.5703125" style="10" customWidth="1"/>
    <col min="9480" max="9480" width="13.140625" style="10" customWidth="1"/>
    <col min="9481" max="9481" width="15.7109375" style="10" customWidth="1"/>
    <col min="9482" max="9482" width="9.42578125" style="10" customWidth="1"/>
    <col min="9483" max="9483" width="15.140625" style="10" customWidth="1"/>
    <col min="9484" max="9484" width="13.28515625" style="10" customWidth="1"/>
    <col min="9485" max="9485" width="15.5703125" style="10" customWidth="1"/>
    <col min="9486" max="9728" width="12.42578125" style="10"/>
    <col min="9729" max="9729" width="23.7109375" style="10" customWidth="1"/>
    <col min="9730" max="9730" width="10.42578125" style="10" customWidth="1"/>
    <col min="9731" max="9731" width="11.5703125" style="10" customWidth="1"/>
    <col min="9732" max="9732" width="15" style="10" customWidth="1"/>
    <col min="9733" max="9733" width="13.5703125" style="10" customWidth="1"/>
    <col min="9734" max="9734" width="15.5703125" style="10" customWidth="1"/>
    <col min="9735" max="9735" width="9.5703125" style="10" customWidth="1"/>
    <col min="9736" max="9736" width="13.140625" style="10" customWidth="1"/>
    <col min="9737" max="9737" width="15.7109375" style="10" customWidth="1"/>
    <col min="9738" max="9738" width="9.42578125" style="10" customWidth="1"/>
    <col min="9739" max="9739" width="15.140625" style="10" customWidth="1"/>
    <col min="9740" max="9740" width="13.28515625" style="10" customWidth="1"/>
    <col min="9741" max="9741" width="15.5703125" style="10" customWidth="1"/>
    <col min="9742" max="9984" width="12.42578125" style="10"/>
    <col min="9985" max="9985" width="23.7109375" style="10" customWidth="1"/>
    <col min="9986" max="9986" width="10.42578125" style="10" customWidth="1"/>
    <col min="9987" max="9987" width="11.5703125" style="10" customWidth="1"/>
    <col min="9988" max="9988" width="15" style="10" customWidth="1"/>
    <col min="9989" max="9989" width="13.5703125" style="10" customWidth="1"/>
    <col min="9990" max="9990" width="15.5703125" style="10" customWidth="1"/>
    <col min="9991" max="9991" width="9.5703125" style="10" customWidth="1"/>
    <col min="9992" max="9992" width="13.140625" style="10" customWidth="1"/>
    <col min="9993" max="9993" width="15.7109375" style="10" customWidth="1"/>
    <col min="9994" max="9994" width="9.42578125" style="10" customWidth="1"/>
    <col min="9995" max="9995" width="15.140625" style="10" customWidth="1"/>
    <col min="9996" max="9996" width="13.28515625" style="10" customWidth="1"/>
    <col min="9997" max="9997" width="15.5703125" style="10" customWidth="1"/>
    <col min="9998" max="10240" width="12.42578125" style="10"/>
    <col min="10241" max="10241" width="23.7109375" style="10" customWidth="1"/>
    <col min="10242" max="10242" width="10.42578125" style="10" customWidth="1"/>
    <col min="10243" max="10243" width="11.5703125" style="10" customWidth="1"/>
    <col min="10244" max="10244" width="15" style="10" customWidth="1"/>
    <col min="10245" max="10245" width="13.5703125" style="10" customWidth="1"/>
    <col min="10246" max="10246" width="15.5703125" style="10" customWidth="1"/>
    <col min="10247" max="10247" width="9.5703125" style="10" customWidth="1"/>
    <col min="10248" max="10248" width="13.140625" style="10" customWidth="1"/>
    <col min="10249" max="10249" width="15.7109375" style="10" customWidth="1"/>
    <col min="10250" max="10250" width="9.42578125" style="10" customWidth="1"/>
    <col min="10251" max="10251" width="15.140625" style="10" customWidth="1"/>
    <col min="10252" max="10252" width="13.28515625" style="10" customWidth="1"/>
    <col min="10253" max="10253" width="15.5703125" style="10" customWidth="1"/>
    <col min="10254" max="10496" width="12.42578125" style="10"/>
    <col min="10497" max="10497" width="23.7109375" style="10" customWidth="1"/>
    <col min="10498" max="10498" width="10.42578125" style="10" customWidth="1"/>
    <col min="10499" max="10499" width="11.5703125" style="10" customWidth="1"/>
    <col min="10500" max="10500" width="15" style="10" customWidth="1"/>
    <col min="10501" max="10501" width="13.5703125" style="10" customWidth="1"/>
    <col min="10502" max="10502" width="15.5703125" style="10" customWidth="1"/>
    <col min="10503" max="10503" width="9.5703125" style="10" customWidth="1"/>
    <col min="10504" max="10504" width="13.140625" style="10" customWidth="1"/>
    <col min="10505" max="10505" width="15.7109375" style="10" customWidth="1"/>
    <col min="10506" max="10506" width="9.42578125" style="10" customWidth="1"/>
    <col min="10507" max="10507" width="15.140625" style="10" customWidth="1"/>
    <col min="10508" max="10508" width="13.28515625" style="10" customWidth="1"/>
    <col min="10509" max="10509" width="15.5703125" style="10" customWidth="1"/>
    <col min="10510" max="10752" width="12.42578125" style="10"/>
    <col min="10753" max="10753" width="23.7109375" style="10" customWidth="1"/>
    <col min="10754" max="10754" width="10.42578125" style="10" customWidth="1"/>
    <col min="10755" max="10755" width="11.5703125" style="10" customWidth="1"/>
    <col min="10756" max="10756" width="15" style="10" customWidth="1"/>
    <col min="10757" max="10757" width="13.5703125" style="10" customWidth="1"/>
    <col min="10758" max="10758" width="15.5703125" style="10" customWidth="1"/>
    <col min="10759" max="10759" width="9.5703125" style="10" customWidth="1"/>
    <col min="10760" max="10760" width="13.140625" style="10" customWidth="1"/>
    <col min="10761" max="10761" width="15.7109375" style="10" customWidth="1"/>
    <col min="10762" max="10762" width="9.42578125" style="10" customWidth="1"/>
    <col min="10763" max="10763" width="15.140625" style="10" customWidth="1"/>
    <col min="10764" max="10764" width="13.28515625" style="10" customWidth="1"/>
    <col min="10765" max="10765" width="15.5703125" style="10" customWidth="1"/>
    <col min="10766" max="11008" width="12.42578125" style="10"/>
    <col min="11009" max="11009" width="23.7109375" style="10" customWidth="1"/>
    <col min="11010" max="11010" width="10.42578125" style="10" customWidth="1"/>
    <col min="11011" max="11011" width="11.5703125" style="10" customWidth="1"/>
    <col min="11012" max="11012" width="15" style="10" customWidth="1"/>
    <col min="11013" max="11013" width="13.5703125" style="10" customWidth="1"/>
    <col min="11014" max="11014" width="15.5703125" style="10" customWidth="1"/>
    <col min="11015" max="11015" width="9.5703125" style="10" customWidth="1"/>
    <col min="11016" max="11016" width="13.140625" style="10" customWidth="1"/>
    <col min="11017" max="11017" width="15.7109375" style="10" customWidth="1"/>
    <col min="11018" max="11018" width="9.42578125" style="10" customWidth="1"/>
    <col min="11019" max="11019" width="15.140625" style="10" customWidth="1"/>
    <col min="11020" max="11020" width="13.28515625" style="10" customWidth="1"/>
    <col min="11021" max="11021" width="15.5703125" style="10" customWidth="1"/>
    <col min="11022" max="11264" width="12.42578125" style="10"/>
    <col min="11265" max="11265" width="23.7109375" style="10" customWidth="1"/>
    <col min="11266" max="11266" width="10.42578125" style="10" customWidth="1"/>
    <col min="11267" max="11267" width="11.5703125" style="10" customWidth="1"/>
    <col min="11268" max="11268" width="15" style="10" customWidth="1"/>
    <col min="11269" max="11269" width="13.5703125" style="10" customWidth="1"/>
    <col min="11270" max="11270" width="15.5703125" style="10" customWidth="1"/>
    <col min="11271" max="11271" width="9.5703125" style="10" customWidth="1"/>
    <col min="11272" max="11272" width="13.140625" style="10" customWidth="1"/>
    <col min="11273" max="11273" width="15.7109375" style="10" customWidth="1"/>
    <col min="11274" max="11274" width="9.42578125" style="10" customWidth="1"/>
    <col min="11275" max="11275" width="15.140625" style="10" customWidth="1"/>
    <col min="11276" max="11276" width="13.28515625" style="10" customWidth="1"/>
    <col min="11277" max="11277" width="15.5703125" style="10" customWidth="1"/>
    <col min="11278" max="11520" width="12.42578125" style="10"/>
    <col min="11521" max="11521" width="23.7109375" style="10" customWidth="1"/>
    <col min="11522" max="11522" width="10.42578125" style="10" customWidth="1"/>
    <col min="11523" max="11523" width="11.5703125" style="10" customWidth="1"/>
    <col min="11524" max="11524" width="15" style="10" customWidth="1"/>
    <col min="11525" max="11525" width="13.5703125" style="10" customWidth="1"/>
    <col min="11526" max="11526" width="15.5703125" style="10" customWidth="1"/>
    <col min="11527" max="11527" width="9.5703125" style="10" customWidth="1"/>
    <col min="11528" max="11528" width="13.140625" style="10" customWidth="1"/>
    <col min="11529" max="11529" width="15.7109375" style="10" customWidth="1"/>
    <col min="11530" max="11530" width="9.42578125" style="10" customWidth="1"/>
    <col min="11531" max="11531" width="15.140625" style="10" customWidth="1"/>
    <col min="11532" max="11532" width="13.28515625" style="10" customWidth="1"/>
    <col min="11533" max="11533" width="15.5703125" style="10" customWidth="1"/>
    <col min="11534" max="11776" width="12.42578125" style="10"/>
    <col min="11777" max="11777" width="23.7109375" style="10" customWidth="1"/>
    <col min="11778" max="11778" width="10.42578125" style="10" customWidth="1"/>
    <col min="11779" max="11779" width="11.5703125" style="10" customWidth="1"/>
    <col min="11780" max="11780" width="15" style="10" customWidth="1"/>
    <col min="11781" max="11781" width="13.5703125" style="10" customWidth="1"/>
    <col min="11782" max="11782" width="15.5703125" style="10" customWidth="1"/>
    <col min="11783" max="11783" width="9.5703125" style="10" customWidth="1"/>
    <col min="11784" max="11784" width="13.140625" style="10" customWidth="1"/>
    <col min="11785" max="11785" width="15.7109375" style="10" customWidth="1"/>
    <col min="11786" max="11786" width="9.42578125" style="10" customWidth="1"/>
    <col min="11787" max="11787" width="15.140625" style="10" customWidth="1"/>
    <col min="11788" max="11788" width="13.28515625" style="10" customWidth="1"/>
    <col min="11789" max="11789" width="15.5703125" style="10" customWidth="1"/>
    <col min="11790" max="12032" width="12.42578125" style="10"/>
    <col min="12033" max="12033" width="23.7109375" style="10" customWidth="1"/>
    <col min="12034" max="12034" width="10.42578125" style="10" customWidth="1"/>
    <col min="12035" max="12035" width="11.5703125" style="10" customWidth="1"/>
    <col min="12036" max="12036" width="15" style="10" customWidth="1"/>
    <col min="12037" max="12037" width="13.5703125" style="10" customWidth="1"/>
    <col min="12038" max="12038" width="15.5703125" style="10" customWidth="1"/>
    <col min="12039" max="12039" width="9.5703125" style="10" customWidth="1"/>
    <col min="12040" max="12040" width="13.140625" style="10" customWidth="1"/>
    <col min="12041" max="12041" width="15.7109375" style="10" customWidth="1"/>
    <col min="12042" max="12042" width="9.42578125" style="10" customWidth="1"/>
    <col min="12043" max="12043" width="15.140625" style="10" customWidth="1"/>
    <col min="12044" max="12044" width="13.28515625" style="10" customWidth="1"/>
    <col min="12045" max="12045" width="15.5703125" style="10" customWidth="1"/>
    <col min="12046" max="12288" width="12.42578125" style="10"/>
    <col min="12289" max="12289" width="23.7109375" style="10" customWidth="1"/>
    <col min="12290" max="12290" width="10.42578125" style="10" customWidth="1"/>
    <col min="12291" max="12291" width="11.5703125" style="10" customWidth="1"/>
    <col min="12292" max="12292" width="15" style="10" customWidth="1"/>
    <col min="12293" max="12293" width="13.5703125" style="10" customWidth="1"/>
    <col min="12294" max="12294" width="15.5703125" style="10" customWidth="1"/>
    <col min="12295" max="12295" width="9.5703125" style="10" customWidth="1"/>
    <col min="12296" max="12296" width="13.140625" style="10" customWidth="1"/>
    <col min="12297" max="12297" width="15.7109375" style="10" customWidth="1"/>
    <col min="12298" max="12298" width="9.42578125" style="10" customWidth="1"/>
    <col min="12299" max="12299" width="15.140625" style="10" customWidth="1"/>
    <col min="12300" max="12300" width="13.28515625" style="10" customWidth="1"/>
    <col min="12301" max="12301" width="15.5703125" style="10" customWidth="1"/>
    <col min="12302" max="12544" width="12.42578125" style="10"/>
    <col min="12545" max="12545" width="23.7109375" style="10" customWidth="1"/>
    <col min="12546" max="12546" width="10.42578125" style="10" customWidth="1"/>
    <col min="12547" max="12547" width="11.5703125" style="10" customWidth="1"/>
    <col min="12548" max="12548" width="15" style="10" customWidth="1"/>
    <col min="12549" max="12549" width="13.5703125" style="10" customWidth="1"/>
    <col min="12550" max="12550" width="15.5703125" style="10" customWidth="1"/>
    <col min="12551" max="12551" width="9.5703125" style="10" customWidth="1"/>
    <col min="12552" max="12552" width="13.140625" style="10" customWidth="1"/>
    <col min="12553" max="12553" width="15.7109375" style="10" customWidth="1"/>
    <col min="12554" max="12554" width="9.42578125" style="10" customWidth="1"/>
    <col min="12555" max="12555" width="15.140625" style="10" customWidth="1"/>
    <col min="12556" max="12556" width="13.28515625" style="10" customWidth="1"/>
    <col min="12557" max="12557" width="15.5703125" style="10" customWidth="1"/>
    <col min="12558" max="12800" width="12.42578125" style="10"/>
    <col min="12801" max="12801" width="23.7109375" style="10" customWidth="1"/>
    <col min="12802" max="12802" width="10.42578125" style="10" customWidth="1"/>
    <col min="12803" max="12803" width="11.5703125" style="10" customWidth="1"/>
    <col min="12804" max="12804" width="15" style="10" customWidth="1"/>
    <col min="12805" max="12805" width="13.5703125" style="10" customWidth="1"/>
    <col min="12806" max="12806" width="15.5703125" style="10" customWidth="1"/>
    <col min="12807" max="12807" width="9.5703125" style="10" customWidth="1"/>
    <col min="12808" max="12808" width="13.140625" style="10" customWidth="1"/>
    <col min="12809" max="12809" width="15.7109375" style="10" customWidth="1"/>
    <col min="12810" max="12810" width="9.42578125" style="10" customWidth="1"/>
    <col min="12811" max="12811" width="15.140625" style="10" customWidth="1"/>
    <col min="12812" max="12812" width="13.28515625" style="10" customWidth="1"/>
    <col min="12813" max="12813" width="15.5703125" style="10" customWidth="1"/>
    <col min="12814" max="13056" width="12.42578125" style="10"/>
    <col min="13057" max="13057" width="23.7109375" style="10" customWidth="1"/>
    <col min="13058" max="13058" width="10.42578125" style="10" customWidth="1"/>
    <col min="13059" max="13059" width="11.5703125" style="10" customWidth="1"/>
    <col min="13060" max="13060" width="15" style="10" customWidth="1"/>
    <col min="13061" max="13061" width="13.5703125" style="10" customWidth="1"/>
    <col min="13062" max="13062" width="15.5703125" style="10" customWidth="1"/>
    <col min="13063" max="13063" width="9.5703125" style="10" customWidth="1"/>
    <col min="13064" max="13064" width="13.140625" style="10" customWidth="1"/>
    <col min="13065" max="13065" width="15.7109375" style="10" customWidth="1"/>
    <col min="13066" max="13066" width="9.42578125" style="10" customWidth="1"/>
    <col min="13067" max="13067" width="15.140625" style="10" customWidth="1"/>
    <col min="13068" max="13068" width="13.28515625" style="10" customWidth="1"/>
    <col min="13069" max="13069" width="15.5703125" style="10" customWidth="1"/>
    <col min="13070" max="13312" width="12.42578125" style="10"/>
    <col min="13313" max="13313" width="23.7109375" style="10" customWidth="1"/>
    <col min="13314" max="13314" width="10.42578125" style="10" customWidth="1"/>
    <col min="13315" max="13315" width="11.5703125" style="10" customWidth="1"/>
    <col min="13316" max="13316" width="15" style="10" customWidth="1"/>
    <col min="13317" max="13317" width="13.5703125" style="10" customWidth="1"/>
    <col min="13318" max="13318" width="15.5703125" style="10" customWidth="1"/>
    <col min="13319" max="13319" width="9.5703125" style="10" customWidth="1"/>
    <col min="13320" max="13320" width="13.140625" style="10" customWidth="1"/>
    <col min="13321" max="13321" width="15.7109375" style="10" customWidth="1"/>
    <col min="13322" max="13322" width="9.42578125" style="10" customWidth="1"/>
    <col min="13323" max="13323" width="15.140625" style="10" customWidth="1"/>
    <col min="13324" max="13324" width="13.28515625" style="10" customWidth="1"/>
    <col min="13325" max="13325" width="15.5703125" style="10" customWidth="1"/>
    <col min="13326" max="13568" width="12.42578125" style="10"/>
    <col min="13569" max="13569" width="23.7109375" style="10" customWidth="1"/>
    <col min="13570" max="13570" width="10.42578125" style="10" customWidth="1"/>
    <col min="13571" max="13571" width="11.5703125" style="10" customWidth="1"/>
    <col min="13572" max="13572" width="15" style="10" customWidth="1"/>
    <col min="13573" max="13573" width="13.5703125" style="10" customWidth="1"/>
    <col min="13574" max="13574" width="15.5703125" style="10" customWidth="1"/>
    <col min="13575" max="13575" width="9.5703125" style="10" customWidth="1"/>
    <col min="13576" max="13576" width="13.140625" style="10" customWidth="1"/>
    <col min="13577" max="13577" width="15.7109375" style="10" customWidth="1"/>
    <col min="13578" max="13578" width="9.42578125" style="10" customWidth="1"/>
    <col min="13579" max="13579" width="15.140625" style="10" customWidth="1"/>
    <col min="13580" max="13580" width="13.28515625" style="10" customWidth="1"/>
    <col min="13581" max="13581" width="15.5703125" style="10" customWidth="1"/>
    <col min="13582" max="13824" width="12.42578125" style="10"/>
    <col min="13825" max="13825" width="23.7109375" style="10" customWidth="1"/>
    <col min="13826" max="13826" width="10.42578125" style="10" customWidth="1"/>
    <col min="13827" max="13827" width="11.5703125" style="10" customWidth="1"/>
    <col min="13828" max="13828" width="15" style="10" customWidth="1"/>
    <col min="13829" max="13829" width="13.5703125" style="10" customWidth="1"/>
    <col min="13830" max="13830" width="15.5703125" style="10" customWidth="1"/>
    <col min="13831" max="13831" width="9.5703125" style="10" customWidth="1"/>
    <col min="13832" max="13832" width="13.140625" style="10" customWidth="1"/>
    <col min="13833" max="13833" width="15.7109375" style="10" customWidth="1"/>
    <col min="13834" max="13834" width="9.42578125" style="10" customWidth="1"/>
    <col min="13835" max="13835" width="15.140625" style="10" customWidth="1"/>
    <col min="13836" max="13836" width="13.28515625" style="10" customWidth="1"/>
    <col min="13837" max="13837" width="15.5703125" style="10" customWidth="1"/>
    <col min="13838" max="14080" width="12.42578125" style="10"/>
    <col min="14081" max="14081" width="23.7109375" style="10" customWidth="1"/>
    <col min="14082" max="14082" width="10.42578125" style="10" customWidth="1"/>
    <col min="14083" max="14083" width="11.5703125" style="10" customWidth="1"/>
    <col min="14084" max="14084" width="15" style="10" customWidth="1"/>
    <col min="14085" max="14085" width="13.5703125" style="10" customWidth="1"/>
    <col min="14086" max="14086" width="15.5703125" style="10" customWidth="1"/>
    <col min="14087" max="14087" width="9.5703125" style="10" customWidth="1"/>
    <col min="14088" max="14088" width="13.140625" style="10" customWidth="1"/>
    <col min="14089" max="14089" width="15.7109375" style="10" customWidth="1"/>
    <col min="14090" max="14090" width="9.42578125" style="10" customWidth="1"/>
    <col min="14091" max="14091" width="15.140625" style="10" customWidth="1"/>
    <col min="14092" max="14092" width="13.28515625" style="10" customWidth="1"/>
    <col min="14093" max="14093" width="15.5703125" style="10" customWidth="1"/>
    <col min="14094" max="14336" width="12.42578125" style="10"/>
    <col min="14337" max="14337" width="23.7109375" style="10" customWidth="1"/>
    <col min="14338" max="14338" width="10.42578125" style="10" customWidth="1"/>
    <col min="14339" max="14339" width="11.5703125" style="10" customWidth="1"/>
    <col min="14340" max="14340" width="15" style="10" customWidth="1"/>
    <col min="14341" max="14341" width="13.5703125" style="10" customWidth="1"/>
    <col min="14342" max="14342" width="15.5703125" style="10" customWidth="1"/>
    <col min="14343" max="14343" width="9.5703125" style="10" customWidth="1"/>
    <col min="14344" max="14344" width="13.140625" style="10" customWidth="1"/>
    <col min="14345" max="14345" width="15.7109375" style="10" customWidth="1"/>
    <col min="14346" max="14346" width="9.42578125" style="10" customWidth="1"/>
    <col min="14347" max="14347" width="15.140625" style="10" customWidth="1"/>
    <col min="14348" max="14348" width="13.28515625" style="10" customWidth="1"/>
    <col min="14349" max="14349" width="15.5703125" style="10" customWidth="1"/>
    <col min="14350" max="14592" width="12.42578125" style="10"/>
    <col min="14593" max="14593" width="23.7109375" style="10" customWidth="1"/>
    <col min="14594" max="14594" width="10.42578125" style="10" customWidth="1"/>
    <col min="14595" max="14595" width="11.5703125" style="10" customWidth="1"/>
    <col min="14596" max="14596" width="15" style="10" customWidth="1"/>
    <col min="14597" max="14597" width="13.5703125" style="10" customWidth="1"/>
    <col min="14598" max="14598" width="15.5703125" style="10" customWidth="1"/>
    <col min="14599" max="14599" width="9.5703125" style="10" customWidth="1"/>
    <col min="14600" max="14600" width="13.140625" style="10" customWidth="1"/>
    <col min="14601" max="14601" width="15.7109375" style="10" customWidth="1"/>
    <col min="14602" max="14602" width="9.42578125" style="10" customWidth="1"/>
    <col min="14603" max="14603" width="15.140625" style="10" customWidth="1"/>
    <col min="14604" max="14604" width="13.28515625" style="10" customWidth="1"/>
    <col min="14605" max="14605" width="15.5703125" style="10" customWidth="1"/>
    <col min="14606" max="14848" width="12.42578125" style="10"/>
    <col min="14849" max="14849" width="23.7109375" style="10" customWidth="1"/>
    <col min="14850" max="14850" width="10.42578125" style="10" customWidth="1"/>
    <col min="14851" max="14851" width="11.5703125" style="10" customWidth="1"/>
    <col min="14852" max="14852" width="15" style="10" customWidth="1"/>
    <col min="14853" max="14853" width="13.5703125" style="10" customWidth="1"/>
    <col min="14854" max="14854" width="15.5703125" style="10" customWidth="1"/>
    <col min="14855" max="14855" width="9.5703125" style="10" customWidth="1"/>
    <col min="14856" max="14856" width="13.140625" style="10" customWidth="1"/>
    <col min="14857" max="14857" width="15.7109375" style="10" customWidth="1"/>
    <col min="14858" max="14858" width="9.42578125" style="10" customWidth="1"/>
    <col min="14859" max="14859" width="15.140625" style="10" customWidth="1"/>
    <col min="14860" max="14860" width="13.28515625" style="10" customWidth="1"/>
    <col min="14861" max="14861" width="15.5703125" style="10" customWidth="1"/>
    <col min="14862" max="15104" width="12.42578125" style="10"/>
    <col min="15105" max="15105" width="23.7109375" style="10" customWidth="1"/>
    <col min="15106" max="15106" width="10.42578125" style="10" customWidth="1"/>
    <col min="15107" max="15107" width="11.5703125" style="10" customWidth="1"/>
    <col min="15108" max="15108" width="15" style="10" customWidth="1"/>
    <col min="15109" max="15109" width="13.5703125" style="10" customWidth="1"/>
    <col min="15110" max="15110" width="15.5703125" style="10" customWidth="1"/>
    <col min="15111" max="15111" width="9.5703125" style="10" customWidth="1"/>
    <col min="15112" max="15112" width="13.140625" style="10" customWidth="1"/>
    <col min="15113" max="15113" width="15.7109375" style="10" customWidth="1"/>
    <col min="15114" max="15114" width="9.42578125" style="10" customWidth="1"/>
    <col min="15115" max="15115" width="15.140625" style="10" customWidth="1"/>
    <col min="15116" max="15116" width="13.28515625" style="10" customWidth="1"/>
    <col min="15117" max="15117" width="15.5703125" style="10" customWidth="1"/>
    <col min="15118" max="15360" width="12.42578125" style="10"/>
    <col min="15361" max="15361" width="23.7109375" style="10" customWidth="1"/>
    <col min="15362" max="15362" width="10.42578125" style="10" customWidth="1"/>
    <col min="15363" max="15363" width="11.5703125" style="10" customWidth="1"/>
    <col min="15364" max="15364" width="15" style="10" customWidth="1"/>
    <col min="15365" max="15365" width="13.5703125" style="10" customWidth="1"/>
    <col min="15366" max="15366" width="15.5703125" style="10" customWidth="1"/>
    <col min="15367" max="15367" width="9.5703125" style="10" customWidth="1"/>
    <col min="15368" max="15368" width="13.140625" style="10" customWidth="1"/>
    <col min="15369" max="15369" width="15.7109375" style="10" customWidth="1"/>
    <col min="15370" max="15370" width="9.42578125" style="10" customWidth="1"/>
    <col min="15371" max="15371" width="15.140625" style="10" customWidth="1"/>
    <col min="15372" max="15372" width="13.28515625" style="10" customWidth="1"/>
    <col min="15373" max="15373" width="15.5703125" style="10" customWidth="1"/>
    <col min="15374" max="15616" width="12.42578125" style="10"/>
    <col min="15617" max="15617" width="23.7109375" style="10" customWidth="1"/>
    <col min="15618" max="15618" width="10.42578125" style="10" customWidth="1"/>
    <col min="15619" max="15619" width="11.5703125" style="10" customWidth="1"/>
    <col min="15620" max="15620" width="15" style="10" customWidth="1"/>
    <col min="15621" max="15621" width="13.5703125" style="10" customWidth="1"/>
    <col min="15622" max="15622" width="15.5703125" style="10" customWidth="1"/>
    <col min="15623" max="15623" width="9.5703125" style="10" customWidth="1"/>
    <col min="15624" max="15624" width="13.140625" style="10" customWidth="1"/>
    <col min="15625" max="15625" width="15.7109375" style="10" customWidth="1"/>
    <col min="15626" max="15626" width="9.42578125" style="10" customWidth="1"/>
    <col min="15627" max="15627" width="15.140625" style="10" customWidth="1"/>
    <col min="15628" max="15628" width="13.28515625" style="10" customWidth="1"/>
    <col min="15629" max="15629" width="15.5703125" style="10" customWidth="1"/>
    <col min="15630" max="15872" width="12.42578125" style="10"/>
    <col min="15873" max="15873" width="23.7109375" style="10" customWidth="1"/>
    <col min="15874" max="15874" width="10.42578125" style="10" customWidth="1"/>
    <col min="15875" max="15875" width="11.5703125" style="10" customWidth="1"/>
    <col min="15876" max="15876" width="15" style="10" customWidth="1"/>
    <col min="15877" max="15877" width="13.5703125" style="10" customWidth="1"/>
    <col min="15878" max="15878" width="15.5703125" style="10" customWidth="1"/>
    <col min="15879" max="15879" width="9.5703125" style="10" customWidth="1"/>
    <col min="15880" max="15880" width="13.140625" style="10" customWidth="1"/>
    <col min="15881" max="15881" width="15.7109375" style="10" customWidth="1"/>
    <col min="15882" max="15882" width="9.42578125" style="10" customWidth="1"/>
    <col min="15883" max="15883" width="15.140625" style="10" customWidth="1"/>
    <col min="15884" max="15884" width="13.28515625" style="10" customWidth="1"/>
    <col min="15885" max="15885" width="15.5703125" style="10" customWidth="1"/>
    <col min="15886" max="16128" width="12.42578125" style="10"/>
    <col min="16129" max="16129" width="23.7109375" style="10" customWidth="1"/>
    <col min="16130" max="16130" width="10.42578125" style="10" customWidth="1"/>
    <col min="16131" max="16131" width="11.5703125" style="10" customWidth="1"/>
    <col min="16132" max="16132" width="15" style="10" customWidth="1"/>
    <col min="16133" max="16133" width="13.5703125" style="10" customWidth="1"/>
    <col min="16134" max="16134" width="15.5703125" style="10" customWidth="1"/>
    <col min="16135" max="16135" width="9.5703125" style="10" customWidth="1"/>
    <col min="16136" max="16136" width="13.140625" style="10" customWidth="1"/>
    <col min="16137" max="16137" width="15.7109375" style="10" customWidth="1"/>
    <col min="16138" max="16138" width="9.42578125" style="10" customWidth="1"/>
    <col min="16139" max="16139" width="15.140625" style="10" customWidth="1"/>
    <col min="16140" max="16140" width="13.28515625" style="10" customWidth="1"/>
    <col min="16141" max="16141" width="15.5703125" style="10" customWidth="1"/>
    <col min="16142" max="16384" width="12.42578125" style="10"/>
  </cols>
  <sheetData>
    <row r="1" spans="1:13" ht="3" customHeight="1">
      <c r="A1" s="9" t="s">
        <v>41</v>
      </c>
    </row>
    <row r="2" spans="1:13" ht="16.5">
      <c r="A2" s="11" t="s">
        <v>42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ht="26.25" customHeight="1">
      <c r="A3" s="12" t="s">
        <v>43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</row>
    <row r="4" spans="1:13">
      <c r="A4" s="13" t="s">
        <v>11</v>
      </c>
      <c r="B4" s="14" t="s">
        <v>1</v>
      </c>
      <c r="C4" s="15" t="s">
        <v>44</v>
      </c>
      <c r="D4" s="16"/>
      <c r="E4" s="16"/>
      <c r="F4" s="16"/>
      <c r="G4" s="16"/>
      <c r="H4" s="17"/>
      <c r="I4" s="18" t="s">
        <v>45</v>
      </c>
      <c r="J4" s="19" t="s">
        <v>46</v>
      </c>
      <c r="K4" s="20"/>
      <c r="L4" s="20"/>
      <c r="M4" s="20"/>
    </row>
    <row r="5" spans="1:13" ht="47.25">
      <c r="A5" s="21"/>
      <c r="B5" s="22"/>
      <c r="C5" s="23" t="s">
        <v>1</v>
      </c>
      <c r="D5" s="24" t="s">
        <v>47</v>
      </c>
      <c r="E5" s="25" t="s">
        <v>48</v>
      </c>
      <c r="F5" s="25" t="s">
        <v>49</v>
      </c>
      <c r="G5" s="26" t="s">
        <v>50</v>
      </c>
      <c r="H5" s="27" t="s">
        <v>51</v>
      </c>
      <c r="I5" s="28"/>
      <c r="J5" s="29" t="s">
        <v>1</v>
      </c>
      <c r="K5" s="30" t="s">
        <v>52</v>
      </c>
      <c r="L5" s="30" t="s">
        <v>53</v>
      </c>
      <c r="M5" s="25" t="s">
        <v>51</v>
      </c>
    </row>
    <row r="6" spans="1:13" ht="21" customHeight="1">
      <c r="A6" s="31" t="s">
        <v>54</v>
      </c>
      <c r="B6" s="32"/>
      <c r="C6" s="32"/>
      <c r="I6" s="33"/>
      <c r="J6" s="32"/>
    </row>
    <row r="7" spans="1:13">
      <c r="A7" s="34">
        <v>1975</v>
      </c>
      <c r="B7" s="35">
        <v>44525</v>
      </c>
      <c r="C7" s="35">
        <v>32736</v>
      </c>
      <c r="D7" s="36">
        <v>25929</v>
      </c>
      <c r="E7" s="36">
        <v>4856</v>
      </c>
      <c r="F7" s="10">
        <v>961</v>
      </c>
      <c r="G7" s="10">
        <v>53</v>
      </c>
      <c r="H7" s="10">
        <v>937</v>
      </c>
      <c r="I7" s="37">
        <v>3189</v>
      </c>
      <c r="J7" s="35">
        <v>8600</v>
      </c>
      <c r="K7" s="36">
        <v>7516</v>
      </c>
      <c r="L7" s="36">
        <v>1003</v>
      </c>
      <c r="M7" s="10">
        <v>81</v>
      </c>
    </row>
    <row r="8" spans="1:13">
      <c r="A8" s="34">
        <v>1976</v>
      </c>
      <c r="B8" s="35">
        <v>45523</v>
      </c>
      <c r="C8" s="35">
        <v>33790</v>
      </c>
      <c r="D8" s="36">
        <v>26166</v>
      </c>
      <c r="E8" s="36">
        <v>5438</v>
      </c>
      <c r="F8" s="36">
        <v>1132</v>
      </c>
      <c r="G8" s="10">
        <v>73</v>
      </c>
      <c r="H8" s="10">
        <v>981</v>
      </c>
      <c r="I8" s="37">
        <v>3312</v>
      </c>
      <c r="J8" s="35">
        <v>8421</v>
      </c>
      <c r="K8" s="36">
        <v>7427</v>
      </c>
      <c r="L8" s="10">
        <v>914</v>
      </c>
      <c r="M8" s="10">
        <v>80</v>
      </c>
    </row>
    <row r="9" spans="1:13">
      <c r="A9" s="34">
        <v>1977</v>
      </c>
      <c r="B9" s="35">
        <v>47878</v>
      </c>
      <c r="C9" s="35">
        <v>35046</v>
      </c>
      <c r="D9" s="36">
        <v>26782</v>
      </c>
      <c r="E9" s="36">
        <v>5976</v>
      </c>
      <c r="F9" s="36">
        <v>1287</v>
      </c>
      <c r="G9" s="10">
        <v>42</v>
      </c>
      <c r="H9" s="10">
        <v>959</v>
      </c>
      <c r="I9" s="37">
        <v>4104</v>
      </c>
      <c r="J9" s="35">
        <v>8728</v>
      </c>
      <c r="K9" s="36">
        <v>7732</v>
      </c>
      <c r="L9" s="10">
        <v>922</v>
      </c>
      <c r="M9" s="10">
        <v>74</v>
      </c>
    </row>
    <row r="10" spans="1:13">
      <c r="A10" s="34">
        <v>1978</v>
      </c>
      <c r="B10" s="35">
        <v>50331</v>
      </c>
      <c r="C10" s="35">
        <v>36956</v>
      </c>
      <c r="D10" s="36">
        <v>28153</v>
      </c>
      <c r="E10" s="36">
        <v>6745</v>
      </c>
      <c r="F10" s="36">
        <v>1395</v>
      </c>
      <c r="G10" s="10">
        <v>41</v>
      </c>
      <c r="H10" s="10">
        <v>622</v>
      </c>
      <c r="I10" s="37">
        <v>4577</v>
      </c>
      <c r="J10" s="35">
        <v>8798</v>
      </c>
      <c r="K10" s="36">
        <v>7795</v>
      </c>
      <c r="L10" s="10">
        <v>892</v>
      </c>
      <c r="M10" s="10">
        <v>111</v>
      </c>
    </row>
    <row r="11" spans="1:13">
      <c r="A11" s="34">
        <v>1979</v>
      </c>
      <c r="B11" s="35">
        <v>51093</v>
      </c>
      <c r="C11" s="35">
        <v>37036</v>
      </c>
      <c r="D11" s="36">
        <v>27808</v>
      </c>
      <c r="E11" s="36">
        <v>7178</v>
      </c>
      <c r="F11" s="36">
        <v>1432</v>
      </c>
      <c r="G11" s="10">
        <v>39</v>
      </c>
      <c r="H11" s="10">
        <v>579</v>
      </c>
      <c r="I11" s="37">
        <v>4894</v>
      </c>
      <c r="J11" s="35">
        <v>9163</v>
      </c>
      <c r="K11" s="36">
        <v>8096</v>
      </c>
      <c r="L11" s="10">
        <v>932</v>
      </c>
      <c r="M11" s="10">
        <v>135</v>
      </c>
    </row>
    <row r="12" spans="1:13">
      <c r="A12" s="34">
        <v>1980</v>
      </c>
      <c r="B12" s="35">
        <v>51091</v>
      </c>
      <c r="C12" s="35">
        <v>36783</v>
      </c>
      <c r="D12" s="36">
        <v>27449</v>
      </c>
      <c r="E12" s="36">
        <v>7486</v>
      </c>
      <c r="F12" s="36">
        <v>1262</v>
      </c>
      <c r="G12" s="10">
        <v>46</v>
      </c>
      <c r="H12" s="10">
        <v>540</v>
      </c>
      <c r="I12" s="37">
        <v>5144</v>
      </c>
      <c r="J12" s="35">
        <v>9164</v>
      </c>
      <c r="K12" s="36">
        <v>8070</v>
      </c>
      <c r="L12" s="10">
        <v>965</v>
      </c>
      <c r="M12" s="10">
        <v>129</v>
      </c>
    </row>
    <row r="13" spans="1:13">
      <c r="A13" s="34">
        <v>1981</v>
      </c>
      <c r="B13" s="35">
        <v>49301</v>
      </c>
      <c r="C13" s="35">
        <v>35518</v>
      </c>
      <c r="D13" s="36">
        <v>26645</v>
      </c>
      <c r="E13" s="36">
        <v>7081</v>
      </c>
      <c r="F13" s="36">
        <v>1133</v>
      </c>
      <c r="G13" s="10">
        <v>56</v>
      </c>
      <c r="H13" s="10">
        <v>603</v>
      </c>
      <c r="I13" s="37">
        <v>4906</v>
      </c>
      <c r="J13" s="35">
        <v>8877</v>
      </c>
      <c r="K13" s="36">
        <v>7837</v>
      </c>
      <c r="L13" s="10">
        <v>936</v>
      </c>
      <c r="M13" s="10">
        <v>104</v>
      </c>
    </row>
    <row r="14" spans="1:13">
      <c r="A14" s="34">
        <v>1982</v>
      </c>
      <c r="B14" s="35">
        <v>43945</v>
      </c>
      <c r="C14" s="35">
        <v>31193</v>
      </c>
      <c r="D14" s="36">
        <v>23330</v>
      </c>
      <c r="E14" s="36">
        <v>6359</v>
      </c>
      <c r="F14" s="10">
        <v>944</v>
      </c>
      <c r="G14" s="10">
        <v>35</v>
      </c>
      <c r="H14" s="10">
        <v>525</v>
      </c>
      <c r="I14" s="37">
        <v>4453</v>
      </c>
      <c r="J14" s="35">
        <v>8299</v>
      </c>
      <c r="K14" s="36">
        <v>7331</v>
      </c>
      <c r="L14" s="10">
        <v>883</v>
      </c>
      <c r="M14" s="10">
        <v>85</v>
      </c>
    </row>
    <row r="15" spans="1:13">
      <c r="A15" s="34">
        <v>1983</v>
      </c>
      <c r="B15" s="35">
        <v>42589</v>
      </c>
      <c r="C15" s="35">
        <v>30578</v>
      </c>
      <c r="D15" s="36">
        <v>22979</v>
      </c>
      <c r="E15" s="36">
        <v>6202</v>
      </c>
      <c r="F15" s="10">
        <v>982</v>
      </c>
      <c r="G15" s="10">
        <v>53</v>
      </c>
      <c r="H15" s="10">
        <v>362</v>
      </c>
      <c r="I15" s="37">
        <v>4265</v>
      </c>
      <c r="J15" s="35">
        <v>7746</v>
      </c>
      <c r="K15" s="36">
        <v>6826</v>
      </c>
      <c r="L15" s="10">
        <v>839</v>
      </c>
      <c r="M15" s="10">
        <v>81</v>
      </c>
    </row>
    <row r="16" spans="1:13">
      <c r="A16" s="34">
        <v>1984</v>
      </c>
      <c r="B16" s="35">
        <v>44257</v>
      </c>
      <c r="C16" s="35">
        <v>31676</v>
      </c>
      <c r="D16" s="36">
        <v>23620</v>
      </c>
      <c r="E16" s="36">
        <v>6496</v>
      </c>
      <c r="F16" s="36">
        <v>1074</v>
      </c>
      <c r="G16" s="10">
        <v>46</v>
      </c>
      <c r="H16" s="10">
        <v>440</v>
      </c>
      <c r="I16" s="37">
        <v>4608</v>
      </c>
      <c r="J16" s="35">
        <v>7973</v>
      </c>
      <c r="K16" s="36">
        <v>7025</v>
      </c>
      <c r="L16" s="10">
        <v>849</v>
      </c>
      <c r="M16" s="10">
        <v>99</v>
      </c>
    </row>
    <row r="17" spans="1:13">
      <c r="A17" s="38" t="s">
        <v>55</v>
      </c>
      <c r="B17" s="39">
        <v>43825</v>
      </c>
      <c r="C17" s="39">
        <v>31479</v>
      </c>
      <c r="D17" s="40">
        <v>23212</v>
      </c>
      <c r="E17" s="40">
        <v>6689</v>
      </c>
      <c r="F17" s="40">
        <v>977</v>
      </c>
      <c r="G17" s="40">
        <v>57</v>
      </c>
      <c r="H17" s="40">
        <v>544</v>
      </c>
      <c r="I17" s="41">
        <v>4564</v>
      </c>
      <c r="J17" s="39">
        <v>7782</v>
      </c>
      <c r="K17" s="40">
        <v>6808</v>
      </c>
      <c r="L17" s="40">
        <v>890</v>
      </c>
      <c r="M17" s="42">
        <v>84</v>
      </c>
    </row>
    <row r="18" spans="1:13">
      <c r="A18" s="38" t="s">
        <v>56</v>
      </c>
      <c r="B18" s="39">
        <v>46087</v>
      </c>
      <c r="C18" s="39">
        <v>33668</v>
      </c>
      <c r="D18" s="40">
        <v>24944</v>
      </c>
      <c r="E18" s="40">
        <v>7317</v>
      </c>
      <c r="F18" s="40">
        <v>926</v>
      </c>
      <c r="G18" s="40">
        <v>39</v>
      </c>
      <c r="H18" s="40">
        <v>442</v>
      </c>
      <c r="I18" s="41">
        <v>4566</v>
      </c>
      <c r="J18" s="39">
        <v>7853</v>
      </c>
      <c r="K18" s="40">
        <v>6779</v>
      </c>
      <c r="L18" s="40">
        <v>941</v>
      </c>
      <c r="M18" s="42">
        <v>133</v>
      </c>
    </row>
    <row r="19" spans="1:13">
      <c r="A19" s="38" t="s">
        <v>57</v>
      </c>
      <c r="B19" s="39">
        <v>46390</v>
      </c>
      <c r="C19" s="39">
        <v>34529</v>
      </c>
      <c r="D19" s="40">
        <v>25132</v>
      </c>
      <c r="E19" s="40">
        <v>8058</v>
      </c>
      <c r="F19" s="40">
        <v>852</v>
      </c>
      <c r="G19" s="40">
        <v>51</v>
      </c>
      <c r="H19" s="40">
        <v>436</v>
      </c>
      <c r="I19" s="41">
        <v>4036</v>
      </c>
      <c r="J19" s="39">
        <v>7825</v>
      </c>
      <c r="K19" s="40">
        <v>6745</v>
      </c>
      <c r="L19" s="40">
        <v>948</v>
      </c>
      <c r="M19" s="42">
        <v>132</v>
      </c>
    </row>
    <row r="20" spans="1:13">
      <c r="A20" s="38" t="s">
        <v>58</v>
      </c>
      <c r="B20" s="39">
        <v>47087</v>
      </c>
      <c r="C20" s="39">
        <v>35508</v>
      </c>
      <c r="D20" s="40">
        <v>25808</v>
      </c>
      <c r="E20" s="40">
        <v>8306</v>
      </c>
      <c r="F20" s="40">
        <v>911</v>
      </c>
      <c r="G20" s="40">
        <v>54</v>
      </c>
      <c r="H20" s="40">
        <v>429</v>
      </c>
      <c r="I20" s="41">
        <v>3662</v>
      </c>
      <c r="J20" s="39">
        <v>7917</v>
      </c>
      <c r="K20" s="40">
        <v>6870</v>
      </c>
      <c r="L20" s="40">
        <v>911</v>
      </c>
      <c r="M20" s="42">
        <v>136</v>
      </c>
    </row>
    <row r="21" spans="1:13">
      <c r="A21" s="38" t="s">
        <v>59</v>
      </c>
      <c r="B21" s="39">
        <v>45582</v>
      </c>
      <c r="C21" s="39">
        <v>34946</v>
      </c>
      <c r="D21" s="40">
        <v>25063</v>
      </c>
      <c r="E21" s="40">
        <v>8551</v>
      </c>
      <c r="F21" s="40">
        <v>858</v>
      </c>
      <c r="G21" s="40">
        <v>50</v>
      </c>
      <c r="H21" s="40">
        <v>424</v>
      </c>
      <c r="I21" s="41">
        <v>3141</v>
      </c>
      <c r="J21" s="39">
        <v>7495</v>
      </c>
      <c r="K21" s="40">
        <v>6556</v>
      </c>
      <c r="L21" s="40">
        <v>832</v>
      </c>
      <c r="M21" s="42">
        <v>107</v>
      </c>
    </row>
    <row r="22" spans="1:13">
      <c r="A22" s="38" t="s">
        <v>60</v>
      </c>
      <c r="B22" s="39">
        <v>44599</v>
      </c>
      <c r="C22" s="39">
        <v>33890</v>
      </c>
      <c r="D22" s="40">
        <v>24092</v>
      </c>
      <c r="E22" s="40">
        <v>8601</v>
      </c>
      <c r="F22" s="40">
        <v>705</v>
      </c>
      <c r="G22" s="40">
        <v>32</v>
      </c>
      <c r="H22" s="40">
        <v>460</v>
      </c>
      <c r="I22" s="41">
        <v>3244</v>
      </c>
      <c r="J22" s="39">
        <v>7465</v>
      </c>
      <c r="K22" s="40">
        <v>6482</v>
      </c>
      <c r="L22" s="40">
        <v>859</v>
      </c>
      <c r="M22" s="42">
        <v>124</v>
      </c>
    </row>
    <row r="23" spans="1:13">
      <c r="A23" s="38" t="s">
        <v>61</v>
      </c>
      <c r="B23" s="39">
        <v>41508</v>
      </c>
      <c r="C23" s="39">
        <v>31934</v>
      </c>
      <c r="D23" s="40">
        <v>22385</v>
      </c>
      <c r="E23" s="40">
        <v>8391</v>
      </c>
      <c r="F23" s="40">
        <v>661</v>
      </c>
      <c r="G23" s="40">
        <v>31</v>
      </c>
      <c r="H23" s="40">
        <v>466</v>
      </c>
      <c r="I23" s="41">
        <v>2806</v>
      </c>
      <c r="J23" s="39">
        <v>6768</v>
      </c>
      <c r="K23" s="40">
        <v>5801</v>
      </c>
      <c r="L23" s="40">
        <v>843</v>
      </c>
      <c r="M23" s="42">
        <v>124</v>
      </c>
    </row>
    <row r="24" spans="1:13">
      <c r="A24" s="38" t="s">
        <v>62</v>
      </c>
      <c r="B24" s="39">
        <v>39250</v>
      </c>
      <c r="C24" s="39">
        <v>30485</v>
      </c>
      <c r="D24" s="40">
        <v>21387</v>
      </c>
      <c r="E24" s="40">
        <v>8098</v>
      </c>
      <c r="F24" s="40">
        <v>585</v>
      </c>
      <c r="G24" s="40">
        <v>28</v>
      </c>
      <c r="H24" s="40">
        <v>387</v>
      </c>
      <c r="I24" s="41">
        <v>2395</v>
      </c>
      <c r="J24" s="39">
        <v>6370</v>
      </c>
      <c r="K24" s="40">
        <v>5549</v>
      </c>
      <c r="L24" s="40">
        <v>723</v>
      </c>
      <c r="M24" s="42">
        <v>98</v>
      </c>
    </row>
    <row r="25" spans="1:13">
      <c r="A25" s="38" t="s">
        <v>63</v>
      </c>
      <c r="B25" s="39">
        <v>40150</v>
      </c>
      <c r="C25" s="39">
        <v>31125</v>
      </c>
      <c r="D25" s="40">
        <v>21566</v>
      </c>
      <c r="E25" s="40">
        <v>8511</v>
      </c>
      <c r="F25" s="42">
        <v>605</v>
      </c>
      <c r="G25" s="42">
        <v>18</v>
      </c>
      <c r="H25" s="42">
        <v>425</v>
      </c>
      <c r="I25" s="41">
        <v>2449</v>
      </c>
      <c r="J25" s="39">
        <v>6576</v>
      </c>
      <c r="K25" s="40">
        <v>5649</v>
      </c>
      <c r="L25" s="42">
        <v>816</v>
      </c>
      <c r="M25" s="42">
        <v>111</v>
      </c>
    </row>
    <row r="26" spans="1:13">
      <c r="A26" s="38" t="s">
        <v>64</v>
      </c>
      <c r="B26" s="39">
        <v>40716</v>
      </c>
      <c r="C26" s="39">
        <v>31998</v>
      </c>
      <c r="D26" s="40">
        <v>21997</v>
      </c>
      <c r="E26" s="40">
        <v>8904</v>
      </c>
      <c r="F26" s="42">
        <v>670</v>
      </c>
      <c r="G26" s="42">
        <v>18</v>
      </c>
      <c r="H26" s="42">
        <v>409</v>
      </c>
      <c r="I26" s="41">
        <v>2320</v>
      </c>
      <c r="J26" s="39">
        <v>6398</v>
      </c>
      <c r="K26" s="40">
        <v>5489</v>
      </c>
      <c r="L26" s="42">
        <v>802</v>
      </c>
      <c r="M26" s="42">
        <v>107</v>
      </c>
    </row>
    <row r="27" spans="1:13">
      <c r="A27" s="38" t="s">
        <v>65</v>
      </c>
      <c r="B27" s="39">
        <v>41817</v>
      </c>
      <c r="C27" s="39">
        <v>33064</v>
      </c>
      <c r="D27" s="40">
        <v>22423</v>
      </c>
      <c r="E27" s="40">
        <v>9568</v>
      </c>
      <c r="F27" s="42">
        <v>648</v>
      </c>
      <c r="G27" s="42">
        <v>33</v>
      </c>
      <c r="H27" s="42">
        <v>392</v>
      </c>
      <c r="I27" s="41">
        <v>2227</v>
      </c>
      <c r="J27" s="39">
        <v>6526</v>
      </c>
      <c r="K27" s="40">
        <v>5584</v>
      </c>
      <c r="L27" s="42">
        <v>833</v>
      </c>
      <c r="M27" s="42">
        <v>109</v>
      </c>
    </row>
    <row r="28" spans="1:13">
      <c r="A28" s="43" t="s">
        <v>66</v>
      </c>
      <c r="B28" s="39">
        <v>42065</v>
      </c>
      <c r="C28" s="39">
        <v>33534</v>
      </c>
      <c r="D28" s="40">
        <v>22505</v>
      </c>
      <c r="E28" s="40">
        <v>9932</v>
      </c>
      <c r="F28" s="42">
        <v>621</v>
      </c>
      <c r="G28" s="42">
        <v>21</v>
      </c>
      <c r="H28" s="42">
        <v>455</v>
      </c>
      <c r="I28" s="41">
        <v>2161</v>
      </c>
      <c r="J28" s="39">
        <v>6368</v>
      </c>
      <c r="K28" s="40">
        <v>5449</v>
      </c>
      <c r="L28" s="42">
        <v>765</v>
      </c>
      <c r="M28" s="42">
        <v>154</v>
      </c>
    </row>
    <row r="29" spans="1:13">
      <c r="A29" s="38" t="s">
        <v>67</v>
      </c>
      <c r="B29" s="39">
        <v>42013</v>
      </c>
      <c r="C29" s="39">
        <v>33609</v>
      </c>
      <c r="D29" s="40">
        <v>22199</v>
      </c>
      <c r="E29" s="40">
        <v>10249</v>
      </c>
      <c r="F29" s="42">
        <v>723</v>
      </c>
      <c r="G29" s="42">
        <v>18</v>
      </c>
      <c r="H29" s="42">
        <v>420</v>
      </c>
      <c r="I29" s="41">
        <v>2116</v>
      </c>
      <c r="J29" s="39">
        <v>6288</v>
      </c>
      <c r="K29" s="40">
        <v>5321</v>
      </c>
      <c r="L29" s="42">
        <v>814</v>
      </c>
      <c r="M29" s="42">
        <v>153</v>
      </c>
    </row>
    <row r="30" spans="1:13">
      <c r="A30" s="38" t="s">
        <v>68</v>
      </c>
      <c r="B30" s="39">
        <v>41501</v>
      </c>
      <c r="C30" s="39">
        <v>33088</v>
      </c>
      <c r="D30" s="40">
        <v>21194</v>
      </c>
      <c r="E30" s="40">
        <v>10705</v>
      </c>
      <c r="F30" s="42">
        <v>742</v>
      </c>
      <c r="G30" s="42">
        <v>38</v>
      </c>
      <c r="H30" s="42">
        <v>409</v>
      </c>
      <c r="I30" s="41">
        <v>2294</v>
      </c>
      <c r="J30" s="39">
        <v>6119</v>
      </c>
      <c r="K30" s="40">
        <v>5228</v>
      </c>
      <c r="L30" s="42">
        <v>760</v>
      </c>
      <c r="M30" s="42">
        <v>131</v>
      </c>
    </row>
    <row r="31" spans="1:13">
      <c r="A31" s="38" t="s">
        <v>69</v>
      </c>
      <c r="B31" s="39">
        <v>41717</v>
      </c>
      <c r="C31" s="39">
        <v>33392</v>
      </c>
      <c r="D31" s="40">
        <v>20862</v>
      </c>
      <c r="E31" s="40">
        <v>11265</v>
      </c>
      <c r="F31" s="40">
        <v>759</v>
      </c>
      <c r="G31" s="40">
        <v>59</v>
      </c>
      <c r="H31" s="40">
        <v>447</v>
      </c>
      <c r="I31" s="41">
        <v>2483</v>
      </c>
      <c r="J31" s="39">
        <v>5842</v>
      </c>
      <c r="K31" s="40">
        <v>4939</v>
      </c>
      <c r="L31" s="40">
        <v>754</v>
      </c>
      <c r="M31" s="40">
        <v>149</v>
      </c>
    </row>
    <row r="32" spans="1:13">
      <c r="A32" s="38" t="s">
        <v>70</v>
      </c>
      <c r="B32" s="39">
        <v>41945</v>
      </c>
      <c r="C32" s="39">
        <v>33451</v>
      </c>
      <c r="D32" s="40">
        <v>20699</v>
      </c>
      <c r="E32" s="40">
        <v>11526</v>
      </c>
      <c r="F32" s="42">
        <v>754</v>
      </c>
      <c r="G32" s="42">
        <v>22</v>
      </c>
      <c r="H32" s="42">
        <v>450</v>
      </c>
      <c r="I32" s="41">
        <v>2897</v>
      </c>
      <c r="J32" s="39">
        <v>5597</v>
      </c>
      <c r="K32" s="40">
        <v>4763</v>
      </c>
      <c r="L32" s="42">
        <v>693</v>
      </c>
      <c r="M32" s="42">
        <v>141</v>
      </c>
    </row>
    <row r="33" spans="1:13">
      <c r="A33" s="44">
        <v>2001</v>
      </c>
      <c r="B33" s="45">
        <v>42196</v>
      </c>
      <c r="C33" s="39">
        <v>33243</v>
      </c>
      <c r="D33" s="46">
        <v>20320</v>
      </c>
      <c r="E33" s="46">
        <v>11723</v>
      </c>
      <c r="F33" s="47">
        <v>708</v>
      </c>
      <c r="G33" s="47">
        <v>34</v>
      </c>
      <c r="H33" s="47">
        <v>458</v>
      </c>
      <c r="I33" s="48">
        <v>3197</v>
      </c>
      <c r="J33" s="45">
        <v>5756</v>
      </c>
      <c r="K33" s="46">
        <v>4901</v>
      </c>
      <c r="L33" s="47">
        <v>732</v>
      </c>
      <c r="M33" s="47">
        <v>123</v>
      </c>
    </row>
    <row r="34" spans="1:13">
      <c r="A34" s="38" t="s">
        <v>71</v>
      </c>
      <c r="B34" s="45">
        <v>43005</v>
      </c>
      <c r="C34" s="39">
        <v>34105</v>
      </c>
      <c r="D34" s="46">
        <v>20569</v>
      </c>
      <c r="E34" s="46">
        <v>12274</v>
      </c>
      <c r="F34" s="47">
        <v>689</v>
      </c>
      <c r="G34" s="47">
        <v>45</v>
      </c>
      <c r="H34" s="47">
        <v>528</v>
      </c>
      <c r="I34" s="48">
        <v>3270</v>
      </c>
      <c r="J34" s="45">
        <v>5630</v>
      </c>
      <c r="K34" s="46">
        <v>4851</v>
      </c>
      <c r="L34" s="47">
        <v>665</v>
      </c>
      <c r="M34" s="47">
        <v>114</v>
      </c>
    </row>
    <row r="35" spans="1:13">
      <c r="A35" s="44">
        <v>2003</v>
      </c>
      <c r="B35" s="45">
        <v>42884</v>
      </c>
      <c r="C35" s="39">
        <v>33627</v>
      </c>
      <c r="D35" s="46">
        <v>19725</v>
      </c>
      <c r="E35" s="46">
        <v>12546</v>
      </c>
      <c r="F35" s="47">
        <v>726</v>
      </c>
      <c r="G35" s="47">
        <v>41</v>
      </c>
      <c r="H35" s="47">
        <v>589</v>
      </c>
      <c r="I35" s="48">
        <v>3714</v>
      </c>
      <c r="J35" s="45">
        <v>5543</v>
      </c>
      <c r="K35" s="46">
        <v>4774</v>
      </c>
      <c r="L35" s="47">
        <v>629</v>
      </c>
      <c r="M35" s="47">
        <v>140</v>
      </c>
    </row>
    <row r="36" spans="1:13">
      <c r="A36" s="44">
        <v>2004</v>
      </c>
      <c r="B36" s="45">
        <v>42836</v>
      </c>
      <c r="C36" s="39">
        <v>33276</v>
      </c>
      <c r="D36" s="46">
        <v>19192</v>
      </c>
      <c r="E36" s="46">
        <v>12674</v>
      </c>
      <c r="F36" s="47">
        <v>766</v>
      </c>
      <c r="G36" s="47">
        <v>42</v>
      </c>
      <c r="H36" s="47">
        <v>602</v>
      </c>
      <c r="I36" s="48">
        <v>4028</v>
      </c>
      <c r="J36" s="45">
        <v>5532</v>
      </c>
      <c r="K36" s="46">
        <v>4675</v>
      </c>
      <c r="L36" s="47">
        <v>727</v>
      </c>
      <c r="M36" s="47">
        <v>130</v>
      </c>
    </row>
    <row r="37" spans="1:13">
      <c r="A37" s="44">
        <v>2005</v>
      </c>
      <c r="B37" s="45">
        <v>43510</v>
      </c>
      <c r="C37" s="39">
        <v>33070</v>
      </c>
      <c r="D37" s="46">
        <v>18512</v>
      </c>
      <c r="E37" s="46">
        <v>13037</v>
      </c>
      <c r="F37" s="47">
        <v>804</v>
      </c>
      <c r="G37" s="47">
        <v>58</v>
      </c>
      <c r="H37" s="47">
        <v>659</v>
      </c>
      <c r="I37" s="48">
        <v>4576</v>
      </c>
      <c r="J37" s="45">
        <v>5864</v>
      </c>
      <c r="K37" s="46">
        <v>4892</v>
      </c>
      <c r="L37" s="47">
        <v>786</v>
      </c>
      <c r="M37" s="47">
        <v>186</v>
      </c>
    </row>
    <row r="38" spans="1:13">
      <c r="A38" s="44">
        <v>2006</v>
      </c>
      <c r="B38" s="39">
        <v>42708</v>
      </c>
      <c r="C38" s="39">
        <v>32119</v>
      </c>
      <c r="D38" s="40">
        <v>17925</v>
      </c>
      <c r="E38" s="40">
        <v>12761</v>
      </c>
      <c r="F38" s="40">
        <v>805</v>
      </c>
      <c r="G38" s="40">
        <v>27</v>
      </c>
      <c r="H38" s="40">
        <v>601</v>
      </c>
      <c r="I38" s="41">
        <v>4837</v>
      </c>
      <c r="J38" s="39">
        <v>5752</v>
      </c>
      <c r="K38" s="40">
        <v>4795</v>
      </c>
      <c r="L38" s="40">
        <v>772</v>
      </c>
      <c r="M38" s="49">
        <v>185</v>
      </c>
    </row>
    <row r="39" spans="1:13">
      <c r="A39" s="44">
        <v>2007</v>
      </c>
      <c r="B39" s="39">
        <v>41259</v>
      </c>
      <c r="C39" s="39">
        <v>30527</v>
      </c>
      <c r="D39" s="40">
        <v>16614</v>
      </c>
      <c r="E39" s="40">
        <v>12458</v>
      </c>
      <c r="F39" s="40">
        <v>805</v>
      </c>
      <c r="G39" s="40">
        <v>36</v>
      </c>
      <c r="H39" s="40">
        <v>614</v>
      </c>
      <c r="I39" s="41">
        <v>5174</v>
      </c>
      <c r="J39" s="39">
        <v>5558</v>
      </c>
      <c r="K39" s="40">
        <v>4699</v>
      </c>
      <c r="L39" s="40">
        <v>701</v>
      </c>
      <c r="M39" s="49">
        <v>158</v>
      </c>
    </row>
    <row r="40" spans="1:13">
      <c r="A40" s="44">
        <v>2008</v>
      </c>
      <c r="B40" s="39">
        <v>37423</v>
      </c>
      <c r="C40" s="39">
        <v>26791</v>
      </c>
      <c r="D40" s="40">
        <v>14646</v>
      </c>
      <c r="E40" s="40">
        <v>10816</v>
      </c>
      <c r="F40" s="40">
        <v>682</v>
      </c>
      <c r="G40" s="40">
        <v>67</v>
      </c>
      <c r="H40" s="40">
        <v>580</v>
      </c>
      <c r="I40" s="41">
        <v>5312</v>
      </c>
      <c r="J40" s="39">
        <v>5320</v>
      </c>
      <c r="K40" s="40">
        <v>4414</v>
      </c>
      <c r="L40" s="40">
        <v>718</v>
      </c>
      <c r="M40" s="49">
        <v>188</v>
      </c>
    </row>
    <row r="41" spans="1:13">
      <c r="A41" s="44">
        <v>2009</v>
      </c>
      <c r="B41" s="39">
        <v>33808</v>
      </c>
      <c r="C41" s="39">
        <v>24474</v>
      </c>
      <c r="D41" s="40">
        <v>13095</v>
      </c>
      <c r="E41" s="40">
        <v>10287</v>
      </c>
      <c r="F41" s="40">
        <v>503</v>
      </c>
      <c r="G41" s="40">
        <v>26</v>
      </c>
      <c r="H41" s="40">
        <v>563</v>
      </c>
      <c r="I41" s="41">
        <v>4462</v>
      </c>
      <c r="J41" s="39">
        <v>4872</v>
      </c>
      <c r="K41" s="40">
        <v>4092</v>
      </c>
      <c r="L41" s="40">
        <v>630</v>
      </c>
      <c r="M41" s="49">
        <v>150</v>
      </c>
    </row>
    <row r="42" spans="1:13" ht="24.75" customHeight="1">
      <c r="A42" s="31" t="s">
        <v>72</v>
      </c>
      <c r="B42" s="39"/>
      <c r="C42" s="39"/>
      <c r="D42" s="40"/>
      <c r="E42" s="40"/>
      <c r="F42" s="40"/>
      <c r="G42" s="40"/>
      <c r="H42" s="40"/>
      <c r="I42" s="41"/>
      <c r="J42" s="39"/>
      <c r="K42" s="40"/>
      <c r="L42" s="40"/>
    </row>
    <row r="43" spans="1:13">
      <c r="A43" s="38" t="s">
        <v>58</v>
      </c>
      <c r="B43" s="39">
        <v>3416</v>
      </c>
      <c r="C43" s="39">
        <v>3119</v>
      </c>
      <c r="D43" s="40">
        <v>2585</v>
      </c>
      <c r="E43" s="40">
        <v>478</v>
      </c>
      <c r="F43" s="40">
        <v>37</v>
      </c>
      <c r="G43" s="40">
        <v>15</v>
      </c>
      <c r="H43" s="40">
        <v>4</v>
      </c>
      <c r="I43" s="41">
        <v>105</v>
      </c>
      <c r="J43" s="39">
        <v>192</v>
      </c>
      <c r="K43" s="40">
        <v>110</v>
      </c>
      <c r="L43" s="40">
        <v>75</v>
      </c>
      <c r="M43" s="40">
        <v>8</v>
      </c>
    </row>
    <row r="44" spans="1:13">
      <c r="A44" s="38" t="s">
        <v>59</v>
      </c>
      <c r="B44" s="39">
        <v>3284</v>
      </c>
      <c r="C44" s="39">
        <v>3005</v>
      </c>
      <c r="D44" s="40">
        <v>2431</v>
      </c>
      <c r="E44" s="40">
        <v>511</v>
      </c>
      <c r="F44" s="40">
        <v>43</v>
      </c>
      <c r="G44" s="40">
        <v>15</v>
      </c>
      <c r="H44" s="40">
        <v>5</v>
      </c>
      <c r="I44" s="41">
        <v>83</v>
      </c>
      <c r="J44" s="39">
        <v>196</v>
      </c>
      <c r="K44" s="40">
        <v>112</v>
      </c>
      <c r="L44" s="40">
        <v>73</v>
      </c>
      <c r="M44" s="40">
        <v>11</v>
      </c>
    </row>
    <row r="45" spans="1:13">
      <c r="A45" s="38" t="s">
        <v>60</v>
      </c>
      <c r="B45" s="39">
        <v>3231</v>
      </c>
      <c r="C45" s="39">
        <v>2960</v>
      </c>
      <c r="D45" s="40">
        <v>2376</v>
      </c>
      <c r="E45" s="40">
        <v>505</v>
      </c>
      <c r="F45" s="40">
        <v>42</v>
      </c>
      <c r="G45" s="40">
        <v>33</v>
      </c>
      <c r="H45" s="40">
        <v>4</v>
      </c>
      <c r="I45" s="41">
        <v>84</v>
      </c>
      <c r="J45" s="39">
        <v>187</v>
      </c>
      <c r="K45" s="40">
        <v>105</v>
      </c>
      <c r="L45" s="40">
        <v>75</v>
      </c>
      <c r="M45" s="40">
        <v>7</v>
      </c>
    </row>
    <row r="46" spans="1:13">
      <c r="A46" s="38" t="s">
        <v>61</v>
      </c>
      <c r="B46" s="39">
        <v>3097</v>
      </c>
      <c r="C46" s="39">
        <v>2851</v>
      </c>
      <c r="D46" s="40">
        <v>2235</v>
      </c>
      <c r="E46" s="40">
        <v>563</v>
      </c>
      <c r="F46" s="40">
        <v>28</v>
      </c>
      <c r="G46" s="40">
        <v>21</v>
      </c>
      <c r="H46" s="40">
        <v>4</v>
      </c>
      <c r="I46" s="41">
        <v>80</v>
      </c>
      <c r="J46" s="39">
        <v>166</v>
      </c>
      <c r="K46" s="40">
        <v>88</v>
      </c>
      <c r="L46" s="40">
        <v>67</v>
      </c>
      <c r="M46" s="40">
        <v>11</v>
      </c>
    </row>
    <row r="47" spans="1:13">
      <c r="A47" s="38" t="s">
        <v>62</v>
      </c>
      <c r="B47" s="39">
        <v>3070</v>
      </c>
      <c r="C47" s="39">
        <v>2843</v>
      </c>
      <c r="D47" s="40">
        <v>2232</v>
      </c>
      <c r="E47" s="40">
        <v>545</v>
      </c>
      <c r="F47" s="40">
        <v>34</v>
      </c>
      <c r="G47" s="40">
        <v>20</v>
      </c>
      <c r="H47" s="40">
        <v>12</v>
      </c>
      <c r="I47" s="41">
        <v>65</v>
      </c>
      <c r="J47" s="39">
        <v>162</v>
      </c>
      <c r="K47" s="40">
        <v>89</v>
      </c>
      <c r="L47" s="40">
        <v>63</v>
      </c>
      <c r="M47" s="40">
        <v>10</v>
      </c>
    </row>
    <row r="48" spans="1:13">
      <c r="A48" s="38" t="s">
        <v>63</v>
      </c>
      <c r="B48" s="39">
        <v>3149</v>
      </c>
      <c r="C48" s="39">
        <v>2919</v>
      </c>
      <c r="D48" s="40">
        <v>2265</v>
      </c>
      <c r="E48" s="42">
        <v>601</v>
      </c>
      <c r="F48" s="42">
        <v>32</v>
      </c>
      <c r="G48" s="42">
        <v>17</v>
      </c>
      <c r="H48" s="42">
        <v>4</v>
      </c>
      <c r="I48" s="50">
        <v>59</v>
      </c>
      <c r="J48" s="51">
        <v>171</v>
      </c>
      <c r="K48" s="42">
        <v>94</v>
      </c>
      <c r="L48" s="42">
        <v>68</v>
      </c>
      <c r="M48" s="42">
        <v>9</v>
      </c>
    </row>
    <row r="49" spans="1:13">
      <c r="A49" s="38" t="s">
        <v>64</v>
      </c>
      <c r="B49" s="39">
        <v>3266</v>
      </c>
      <c r="C49" s="39">
        <v>3045</v>
      </c>
      <c r="D49" s="40">
        <v>2364</v>
      </c>
      <c r="E49" s="42">
        <v>631</v>
      </c>
      <c r="F49" s="42">
        <v>30</v>
      </c>
      <c r="G49" s="42">
        <v>16</v>
      </c>
      <c r="H49" s="42">
        <v>4</v>
      </c>
      <c r="I49" s="50">
        <v>57</v>
      </c>
      <c r="J49" s="51">
        <v>164</v>
      </c>
      <c r="K49" s="42">
        <v>92</v>
      </c>
      <c r="L49" s="42">
        <v>62</v>
      </c>
      <c r="M49" s="42">
        <v>9</v>
      </c>
    </row>
    <row r="50" spans="1:13">
      <c r="A50" s="38" t="s">
        <v>65</v>
      </c>
      <c r="B50" s="39">
        <v>3465</v>
      </c>
      <c r="C50" s="39">
        <v>3246</v>
      </c>
      <c r="D50" s="40">
        <v>2469</v>
      </c>
      <c r="E50" s="42">
        <v>722</v>
      </c>
      <c r="F50" s="42">
        <v>30</v>
      </c>
      <c r="G50" s="42">
        <v>19</v>
      </c>
      <c r="H50" s="42">
        <v>4</v>
      </c>
      <c r="I50" s="50">
        <v>57</v>
      </c>
      <c r="J50" s="51">
        <v>162</v>
      </c>
      <c r="K50" s="42">
        <v>86</v>
      </c>
      <c r="L50" s="42">
        <v>67</v>
      </c>
      <c r="M50" s="42">
        <v>10</v>
      </c>
    </row>
    <row r="51" spans="1:13">
      <c r="A51" s="38" t="s">
        <v>73</v>
      </c>
      <c r="B51" s="39">
        <v>3483</v>
      </c>
      <c r="C51" s="39">
        <v>3277</v>
      </c>
      <c r="D51" s="40">
        <v>2458</v>
      </c>
      <c r="E51" s="42">
        <v>761</v>
      </c>
      <c r="F51" s="42">
        <v>33</v>
      </c>
      <c r="G51" s="42">
        <v>20</v>
      </c>
      <c r="H51" s="42">
        <v>4</v>
      </c>
      <c r="I51" s="50">
        <v>55</v>
      </c>
      <c r="J51" s="51">
        <v>151</v>
      </c>
      <c r="K51" s="42">
        <v>82</v>
      </c>
      <c r="L51" s="42">
        <v>58</v>
      </c>
      <c r="M51" s="42">
        <v>11</v>
      </c>
    </row>
    <row r="52" spans="1:13">
      <c r="A52" s="38" t="s">
        <v>67</v>
      </c>
      <c r="B52" s="39">
        <v>3348</v>
      </c>
      <c r="C52" s="39">
        <v>3149</v>
      </c>
      <c r="D52" s="40">
        <v>2341</v>
      </c>
      <c r="E52" s="42">
        <v>755</v>
      </c>
      <c r="F52" s="42">
        <v>31</v>
      </c>
      <c r="G52" s="42">
        <v>17</v>
      </c>
      <c r="H52" s="42">
        <v>6</v>
      </c>
      <c r="I52" s="50">
        <v>53</v>
      </c>
      <c r="J52" s="51">
        <v>146</v>
      </c>
      <c r="K52" s="42">
        <v>77</v>
      </c>
      <c r="L52" s="42">
        <v>58</v>
      </c>
      <c r="M52" s="42">
        <v>11</v>
      </c>
    </row>
    <row r="53" spans="1:13">
      <c r="A53" s="38" t="s">
        <v>68</v>
      </c>
      <c r="B53" s="39">
        <v>3192</v>
      </c>
      <c r="C53" s="39">
        <v>3012</v>
      </c>
      <c r="D53" s="40">
        <v>2201</v>
      </c>
      <c r="E53" s="42">
        <v>763</v>
      </c>
      <c r="F53" s="42">
        <v>29</v>
      </c>
      <c r="G53" s="42">
        <v>16</v>
      </c>
      <c r="H53" s="42">
        <v>4</v>
      </c>
      <c r="I53" s="50">
        <v>49</v>
      </c>
      <c r="J53" s="51">
        <v>131</v>
      </c>
      <c r="K53" s="42">
        <v>69</v>
      </c>
      <c r="L53" s="42">
        <v>53</v>
      </c>
      <c r="M53" s="42">
        <v>8</v>
      </c>
    </row>
    <row r="54" spans="1:13">
      <c r="A54" s="38" t="s">
        <v>69</v>
      </c>
      <c r="B54" s="39">
        <v>3236</v>
      </c>
      <c r="C54" s="39">
        <v>3047</v>
      </c>
      <c r="D54" s="40">
        <v>2138</v>
      </c>
      <c r="E54" s="40">
        <v>847</v>
      </c>
      <c r="F54" s="40">
        <v>33</v>
      </c>
      <c r="G54" s="40">
        <v>22</v>
      </c>
      <c r="H54" s="40">
        <v>7</v>
      </c>
      <c r="I54" s="41">
        <v>50</v>
      </c>
      <c r="J54" s="39">
        <v>140</v>
      </c>
      <c r="K54" s="40">
        <v>85</v>
      </c>
      <c r="L54" s="40">
        <v>51</v>
      </c>
      <c r="M54" s="40">
        <v>3</v>
      </c>
    </row>
    <row r="55" spans="1:13">
      <c r="A55" s="38" t="s">
        <v>70</v>
      </c>
      <c r="B55" s="39">
        <v>3189</v>
      </c>
      <c r="C55" s="39">
        <v>2997</v>
      </c>
      <c r="D55" s="40">
        <v>2052</v>
      </c>
      <c r="E55" s="42">
        <v>887</v>
      </c>
      <c r="F55" s="42">
        <v>31</v>
      </c>
      <c r="G55" s="42">
        <v>18</v>
      </c>
      <c r="H55" s="42">
        <v>10</v>
      </c>
      <c r="I55" s="50">
        <v>58</v>
      </c>
      <c r="J55" s="51">
        <v>134</v>
      </c>
      <c r="K55" s="42">
        <v>78</v>
      </c>
      <c r="L55" s="42">
        <v>51</v>
      </c>
      <c r="M55" s="42">
        <v>5</v>
      </c>
    </row>
    <row r="56" spans="1:13">
      <c r="A56" s="44">
        <v>2001</v>
      </c>
      <c r="B56" s="45">
        <v>3033</v>
      </c>
      <c r="C56" s="39">
        <v>2841</v>
      </c>
      <c r="D56" s="46">
        <v>1927</v>
      </c>
      <c r="E56" s="47">
        <v>861</v>
      </c>
      <c r="F56" s="47">
        <v>29</v>
      </c>
      <c r="G56" s="47">
        <v>15</v>
      </c>
      <c r="H56" s="47">
        <v>9</v>
      </c>
      <c r="I56" s="52">
        <v>60</v>
      </c>
      <c r="J56" s="53">
        <v>131</v>
      </c>
      <c r="K56" s="47">
        <v>78</v>
      </c>
      <c r="L56" s="47">
        <v>45</v>
      </c>
      <c r="M56" s="47">
        <v>8</v>
      </c>
    </row>
    <row r="57" spans="1:13">
      <c r="A57" s="38" t="s">
        <v>71</v>
      </c>
      <c r="B57" s="45">
        <v>2926</v>
      </c>
      <c r="C57" s="39">
        <v>2735</v>
      </c>
      <c r="D57" s="46">
        <v>1805</v>
      </c>
      <c r="E57" s="47">
        <v>879</v>
      </c>
      <c r="F57" s="47">
        <v>26</v>
      </c>
      <c r="G57" s="47">
        <v>19</v>
      </c>
      <c r="H57" s="47">
        <v>6</v>
      </c>
      <c r="I57" s="52">
        <v>65</v>
      </c>
      <c r="J57" s="53">
        <v>126</v>
      </c>
      <c r="K57" s="47">
        <v>71</v>
      </c>
      <c r="L57" s="47">
        <v>48</v>
      </c>
      <c r="M57" s="47">
        <v>7</v>
      </c>
    </row>
    <row r="58" spans="1:13">
      <c r="A58" s="44">
        <v>2003</v>
      </c>
      <c r="B58" s="45">
        <v>2888.6010000000001</v>
      </c>
      <c r="C58" s="39">
        <v>2697.3240000000001</v>
      </c>
      <c r="D58" s="46">
        <v>1756.4949999999999</v>
      </c>
      <c r="E58" s="46">
        <v>889.048</v>
      </c>
      <c r="F58" s="46">
        <v>26.893000000000001</v>
      </c>
      <c r="G58" s="46">
        <v>18.173999999999999</v>
      </c>
      <c r="H58" s="46">
        <v>6.7140000000000004</v>
      </c>
      <c r="I58" s="48">
        <v>67.102999999999994</v>
      </c>
      <c r="J58" s="45">
        <v>124.17400000000001</v>
      </c>
      <c r="K58" s="46">
        <v>69.948999999999998</v>
      </c>
      <c r="L58" s="46">
        <v>46.378</v>
      </c>
      <c r="M58" s="46">
        <v>7.8470000000000004</v>
      </c>
    </row>
    <row r="59" spans="1:13">
      <c r="A59" s="44">
        <v>2004</v>
      </c>
      <c r="B59" s="45">
        <v>2788.3780000000002</v>
      </c>
      <c r="C59" s="39">
        <v>2593.6790000000001</v>
      </c>
      <c r="D59" s="46">
        <v>1642.549</v>
      </c>
      <c r="E59" s="46">
        <v>900.17100000000005</v>
      </c>
      <c r="F59" s="46">
        <v>27.286999999999999</v>
      </c>
      <c r="G59" s="46">
        <v>16.41</v>
      </c>
      <c r="H59" s="46">
        <v>7.2619999999999996</v>
      </c>
      <c r="I59" s="48">
        <v>76.379000000000005</v>
      </c>
      <c r="J59" s="45">
        <v>118.32</v>
      </c>
      <c r="K59" s="46">
        <v>67.984999999999999</v>
      </c>
      <c r="L59" s="46">
        <v>41.085999999999999</v>
      </c>
      <c r="M59" s="46">
        <v>9.2490000000000006</v>
      </c>
    </row>
    <row r="60" spans="1:13">
      <c r="A60" s="44">
        <v>2005</v>
      </c>
      <c r="B60" s="45">
        <v>2699</v>
      </c>
      <c r="C60" s="39">
        <v>2494</v>
      </c>
      <c r="D60" s="46">
        <v>1573</v>
      </c>
      <c r="E60" s="46">
        <v>872</v>
      </c>
      <c r="F60" s="46">
        <v>27</v>
      </c>
      <c r="G60" s="46">
        <v>11</v>
      </c>
      <c r="H60" s="46">
        <v>10</v>
      </c>
      <c r="I60" s="48">
        <v>87</v>
      </c>
      <c r="J60" s="45">
        <v>118</v>
      </c>
      <c r="K60" s="46">
        <v>64</v>
      </c>
      <c r="L60" s="46">
        <v>45</v>
      </c>
      <c r="M60" s="46">
        <v>8</v>
      </c>
    </row>
    <row r="61" spans="1:13">
      <c r="A61" s="54">
        <v>2006</v>
      </c>
      <c r="B61" s="55">
        <v>2575</v>
      </c>
      <c r="C61" s="55">
        <v>2375</v>
      </c>
      <c r="D61" s="56">
        <v>1475</v>
      </c>
      <c r="E61" s="57">
        <v>857</v>
      </c>
      <c r="F61" s="57">
        <v>23</v>
      </c>
      <c r="G61" s="57">
        <v>10</v>
      </c>
      <c r="H61" s="57">
        <v>11</v>
      </c>
      <c r="I61" s="58">
        <v>88</v>
      </c>
      <c r="J61" s="59">
        <v>112</v>
      </c>
      <c r="K61" s="57">
        <v>61</v>
      </c>
      <c r="L61" s="57">
        <v>44</v>
      </c>
      <c r="M61" s="56">
        <v>7</v>
      </c>
    </row>
    <row r="62" spans="1:13">
      <c r="A62" s="54">
        <v>2007</v>
      </c>
      <c r="B62" s="60">
        <v>2491</v>
      </c>
      <c r="C62" s="56">
        <v>2264</v>
      </c>
      <c r="D62" s="56">
        <v>1379</v>
      </c>
      <c r="E62" s="57">
        <v>841</v>
      </c>
      <c r="F62" s="57">
        <v>23</v>
      </c>
      <c r="G62" s="57">
        <v>12</v>
      </c>
      <c r="H62" s="57">
        <v>8</v>
      </c>
      <c r="I62" s="58">
        <v>103</v>
      </c>
      <c r="J62" s="57">
        <v>124</v>
      </c>
      <c r="K62" s="57">
        <v>70</v>
      </c>
      <c r="L62" s="57">
        <v>43</v>
      </c>
      <c r="M62" s="56">
        <v>10</v>
      </c>
    </row>
    <row r="63" spans="1:13">
      <c r="A63" s="61">
        <v>2008</v>
      </c>
      <c r="B63" s="62">
        <v>2345.7370000000001</v>
      </c>
      <c r="C63" s="63">
        <v>2119.788</v>
      </c>
      <c r="D63" s="63">
        <v>1304.0060000000001</v>
      </c>
      <c r="E63" s="63">
        <v>768.41</v>
      </c>
      <c r="F63" s="63">
        <v>22.946999999999999</v>
      </c>
      <c r="G63" s="63">
        <v>15.148999999999999</v>
      </c>
      <c r="H63" s="64">
        <v>9.2759999999999998</v>
      </c>
      <c r="I63" s="37">
        <v>95.986000000000004</v>
      </c>
      <c r="J63" s="65">
        <v>129.96199999999999</v>
      </c>
      <c r="K63" s="66">
        <v>68.831999999999994</v>
      </c>
      <c r="L63" s="66">
        <v>52.395000000000003</v>
      </c>
      <c r="M63" s="67">
        <v>8.7349999999999994</v>
      </c>
    </row>
    <row r="64" spans="1:13">
      <c r="A64" s="68">
        <v>2009</v>
      </c>
      <c r="B64" s="69">
        <v>2217.2750000000001</v>
      </c>
      <c r="C64" s="70">
        <v>2011.3620000000001</v>
      </c>
      <c r="D64" s="70">
        <v>1216.4780000000001</v>
      </c>
      <c r="E64" s="70">
        <v>759.25800000000004</v>
      </c>
      <c r="F64" s="70">
        <v>16.568999999999999</v>
      </c>
      <c r="G64" s="70">
        <v>12.058999999999999</v>
      </c>
      <c r="H64" s="71">
        <v>6.9980000000000002</v>
      </c>
      <c r="I64" s="72">
        <v>89.606999999999999</v>
      </c>
      <c r="J64" s="70">
        <v>116.306</v>
      </c>
      <c r="K64" s="70">
        <v>58.646999999999998</v>
      </c>
      <c r="L64" s="70">
        <v>50.685000000000002</v>
      </c>
      <c r="M64" s="73">
        <v>6.9740000000000002</v>
      </c>
    </row>
    <row r="65" spans="1:13" ht="18" customHeight="1">
      <c r="A65" s="10" t="s">
        <v>74</v>
      </c>
      <c r="B65" s="40"/>
      <c r="M65" s="40"/>
    </row>
    <row r="66" spans="1:13">
      <c r="A66" s="74" t="s">
        <v>75</v>
      </c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</row>
    <row r="67" spans="1:13">
      <c r="A67" s="74" t="s">
        <v>76</v>
      </c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</row>
    <row r="68" spans="1:13">
      <c r="A68" s="74" t="s">
        <v>77</v>
      </c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</row>
    <row r="69" spans="1:13">
      <c r="A69" s="11" t="s">
        <v>78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</row>
    <row r="70" spans="1:13" ht="21.75" customHeight="1">
      <c r="A70" s="11" t="s">
        <v>79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</row>
    <row r="71" spans="1:13" ht="22.5" customHeight="1">
      <c r="A71" s="38" t="s">
        <v>80</v>
      </c>
      <c r="B71" s="40"/>
      <c r="M71" s="40"/>
    </row>
    <row r="72" spans="1:13">
      <c r="A72" s="75" t="s">
        <v>81</v>
      </c>
      <c r="B72" s="40"/>
      <c r="M72" s="40"/>
    </row>
    <row r="73" spans="1:13">
      <c r="A73" s="75" t="s">
        <v>82</v>
      </c>
      <c r="B73" s="40"/>
      <c r="M73" s="40"/>
    </row>
    <row r="74" spans="1:13">
      <c r="A74" s="76" t="s">
        <v>83</v>
      </c>
    </row>
  </sheetData>
  <mergeCells count="12">
    <mergeCell ref="A66:M66"/>
    <mergeCell ref="A67:M67"/>
    <mergeCell ref="A68:M68"/>
    <mergeCell ref="A69:M69"/>
    <mergeCell ref="A70:M70"/>
    <mergeCell ref="A2:M2"/>
    <mergeCell ref="A3:M3"/>
    <mergeCell ref="A4:A5"/>
    <mergeCell ref="B4:B5"/>
    <mergeCell ref="C4:H4"/>
    <mergeCell ref="I4:I5"/>
    <mergeCell ref="J4:M4"/>
  </mergeCells>
  <hyperlinks>
    <hyperlink ref="A73" r:id="rId1"/>
    <hyperlink ref="E5" location="Data!A66" display="Light trucks \1"/>
    <hyperlink ref="F5" location="Data!A66" display="Large trucks \1"/>
    <hyperlink ref="H5" location="Data!A68" display="Other/ unknown \3"/>
    <hyperlink ref="M5" location="Data!A68" display="Other/ unknown \3"/>
    <hyperlink ref="A28" location="Data!A69" display="1996 \4"/>
  </hyperlinks>
  <pageMargins left="0.75" right="0.75" top="1" bottom="1" header="0.5" footer="0.5"/>
  <pageSetup paperSize="17" scale="60" orientation="landscape" r:id="rId2"/>
  <headerFooter alignWithMargins="0">
    <oddFooter>&amp;C&amp;D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S63"/>
  <sheetViews>
    <sheetView showGridLines="0" topLeftCell="L6" zoomScale="75" zoomScaleNormal="75" workbookViewId="0">
      <selection activeCell="O21" sqref="O21"/>
    </sheetView>
  </sheetViews>
  <sheetFormatPr defaultColWidth="12.42578125" defaultRowHeight="15.75"/>
  <cols>
    <col min="1" max="1" width="12.42578125" style="10"/>
    <col min="2" max="2" width="23.7109375" style="10" customWidth="1"/>
    <col min="3" max="5" width="14.28515625" style="10" bestFit="1" customWidth="1"/>
    <col min="6" max="7" width="17.42578125" style="10" bestFit="1" customWidth="1"/>
    <col min="8" max="8" width="9.85546875" style="10" bestFit="1" customWidth="1"/>
    <col min="9" max="9" width="14.5703125" style="10" bestFit="1" customWidth="1"/>
    <col min="10" max="10" width="30.7109375" style="10" bestFit="1" customWidth="1"/>
    <col min="11" max="11" width="11.28515625" style="10" bestFit="1" customWidth="1"/>
    <col min="12" max="12" width="14.5703125" style="10" bestFit="1" customWidth="1"/>
    <col min="13" max="13" width="11.28515625" style="10" bestFit="1" customWidth="1"/>
    <col min="14" max="14" width="20.28515625" style="10" bestFit="1" customWidth="1"/>
    <col min="15" max="15" width="12.42578125" style="10"/>
    <col min="16" max="16" width="23.28515625" style="10" bestFit="1" customWidth="1"/>
    <col min="17" max="19" width="11.5703125" style="10" customWidth="1"/>
    <col min="20" max="257" width="12.42578125" style="10"/>
    <col min="258" max="258" width="23.7109375" style="10" customWidth="1"/>
    <col min="259" max="259" width="10.42578125" style="10" customWidth="1"/>
    <col min="260" max="260" width="11.5703125" style="10" customWidth="1"/>
    <col min="261" max="261" width="15" style="10" customWidth="1"/>
    <col min="262" max="262" width="13.5703125" style="10" customWidth="1"/>
    <col min="263" max="263" width="15.5703125" style="10" customWidth="1"/>
    <col min="264" max="264" width="9.5703125" style="10" customWidth="1"/>
    <col min="265" max="265" width="13.140625" style="10" customWidth="1"/>
    <col min="266" max="266" width="15.7109375" style="10" customWidth="1"/>
    <col min="267" max="267" width="9.42578125" style="10" customWidth="1"/>
    <col min="268" max="268" width="15.140625" style="10" customWidth="1"/>
    <col min="269" max="269" width="13.28515625" style="10" customWidth="1"/>
    <col min="270" max="270" width="15.5703125" style="10" customWidth="1"/>
    <col min="271" max="513" width="12.42578125" style="10"/>
    <col min="514" max="514" width="23.7109375" style="10" customWidth="1"/>
    <col min="515" max="515" width="10.42578125" style="10" customWidth="1"/>
    <col min="516" max="516" width="11.5703125" style="10" customWidth="1"/>
    <col min="517" max="517" width="15" style="10" customWidth="1"/>
    <col min="518" max="518" width="13.5703125" style="10" customWidth="1"/>
    <col min="519" max="519" width="15.5703125" style="10" customWidth="1"/>
    <col min="520" max="520" width="9.5703125" style="10" customWidth="1"/>
    <col min="521" max="521" width="13.140625" style="10" customWidth="1"/>
    <col min="522" max="522" width="15.7109375" style="10" customWidth="1"/>
    <col min="523" max="523" width="9.42578125" style="10" customWidth="1"/>
    <col min="524" max="524" width="15.140625" style="10" customWidth="1"/>
    <col min="525" max="525" width="13.28515625" style="10" customWidth="1"/>
    <col min="526" max="526" width="15.5703125" style="10" customWidth="1"/>
    <col min="527" max="769" width="12.42578125" style="10"/>
    <col min="770" max="770" width="23.7109375" style="10" customWidth="1"/>
    <col min="771" max="771" width="10.42578125" style="10" customWidth="1"/>
    <col min="772" max="772" width="11.5703125" style="10" customWidth="1"/>
    <col min="773" max="773" width="15" style="10" customWidth="1"/>
    <col min="774" max="774" width="13.5703125" style="10" customWidth="1"/>
    <col min="775" max="775" width="15.5703125" style="10" customWidth="1"/>
    <col min="776" max="776" width="9.5703125" style="10" customWidth="1"/>
    <col min="777" max="777" width="13.140625" style="10" customWidth="1"/>
    <col min="778" max="778" width="15.7109375" style="10" customWidth="1"/>
    <col min="779" max="779" width="9.42578125" style="10" customWidth="1"/>
    <col min="780" max="780" width="15.140625" style="10" customWidth="1"/>
    <col min="781" max="781" width="13.28515625" style="10" customWidth="1"/>
    <col min="782" max="782" width="15.5703125" style="10" customWidth="1"/>
    <col min="783" max="1025" width="12.42578125" style="10"/>
    <col min="1026" max="1026" width="23.7109375" style="10" customWidth="1"/>
    <col min="1027" max="1027" width="10.42578125" style="10" customWidth="1"/>
    <col min="1028" max="1028" width="11.5703125" style="10" customWidth="1"/>
    <col min="1029" max="1029" width="15" style="10" customWidth="1"/>
    <col min="1030" max="1030" width="13.5703125" style="10" customWidth="1"/>
    <col min="1031" max="1031" width="15.5703125" style="10" customWidth="1"/>
    <col min="1032" max="1032" width="9.5703125" style="10" customWidth="1"/>
    <col min="1033" max="1033" width="13.140625" style="10" customWidth="1"/>
    <col min="1034" max="1034" width="15.7109375" style="10" customWidth="1"/>
    <col min="1035" max="1035" width="9.42578125" style="10" customWidth="1"/>
    <col min="1036" max="1036" width="15.140625" style="10" customWidth="1"/>
    <col min="1037" max="1037" width="13.28515625" style="10" customWidth="1"/>
    <col min="1038" max="1038" width="15.5703125" style="10" customWidth="1"/>
    <col min="1039" max="1281" width="12.42578125" style="10"/>
    <col min="1282" max="1282" width="23.7109375" style="10" customWidth="1"/>
    <col min="1283" max="1283" width="10.42578125" style="10" customWidth="1"/>
    <col min="1284" max="1284" width="11.5703125" style="10" customWidth="1"/>
    <col min="1285" max="1285" width="15" style="10" customWidth="1"/>
    <col min="1286" max="1286" width="13.5703125" style="10" customWidth="1"/>
    <col min="1287" max="1287" width="15.5703125" style="10" customWidth="1"/>
    <col min="1288" max="1288" width="9.5703125" style="10" customWidth="1"/>
    <col min="1289" max="1289" width="13.140625" style="10" customWidth="1"/>
    <col min="1290" max="1290" width="15.7109375" style="10" customWidth="1"/>
    <col min="1291" max="1291" width="9.42578125" style="10" customWidth="1"/>
    <col min="1292" max="1292" width="15.140625" style="10" customWidth="1"/>
    <col min="1293" max="1293" width="13.28515625" style="10" customWidth="1"/>
    <col min="1294" max="1294" width="15.5703125" style="10" customWidth="1"/>
    <col min="1295" max="1537" width="12.42578125" style="10"/>
    <col min="1538" max="1538" width="23.7109375" style="10" customWidth="1"/>
    <col min="1539" max="1539" width="10.42578125" style="10" customWidth="1"/>
    <col min="1540" max="1540" width="11.5703125" style="10" customWidth="1"/>
    <col min="1541" max="1541" width="15" style="10" customWidth="1"/>
    <col min="1542" max="1542" width="13.5703125" style="10" customWidth="1"/>
    <col min="1543" max="1543" width="15.5703125" style="10" customWidth="1"/>
    <col min="1544" max="1544" width="9.5703125" style="10" customWidth="1"/>
    <col min="1545" max="1545" width="13.140625" style="10" customWidth="1"/>
    <col min="1546" max="1546" width="15.7109375" style="10" customWidth="1"/>
    <col min="1547" max="1547" width="9.42578125" style="10" customWidth="1"/>
    <col min="1548" max="1548" width="15.140625" style="10" customWidth="1"/>
    <col min="1549" max="1549" width="13.28515625" style="10" customWidth="1"/>
    <col min="1550" max="1550" width="15.5703125" style="10" customWidth="1"/>
    <col min="1551" max="1793" width="12.42578125" style="10"/>
    <col min="1794" max="1794" width="23.7109375" style="10" customWidth="1"/>
    <col min="1795" max="1795" width="10.42578125" style="10" customWidth="1"/>
    <col min="1796" max="1796" width="11.5703125" style="10" customWidth="1"/>
    <col min="1797" max="1797" width="15" style="10" customWidth="1"/>
    <col min="1798" max="1798" width="13.5703125" style="10" customWidth="1"/>
    <col min="1799" max="1799" width="15.5703125" style="10" customWidth="1"/>
    <col min="1800" max="1800" width="9.5703125" style="10" customWidth="1"/>
    <col min="1801" max="1801" width="13.140625" style="10" customWidth="1"/>
    <col min="1802" max="1802" width="15.7109375" style="10" customWidth="1"/>
    <col min="1803" max="1803" width="9.42578125" style="10" customWidth="1"/>
    <col min="1804" max="1804" width="15.140625" style="10" customWidth="1"/>
    <col min="1805" max="1805" width="13.28515625" style="10" customWidth="1"/>
    <col min="1806" max="1806" width="15.5703125" style="10" customWidth="1"/>
    <col min="1807" max="2049" width="12.42578125" style="10"/>
    <col min="2050" max="2050" width="23.7109375" style="10" customWidth="1"/>
    <col min="2051" max="2051" width="10.42578125" style="10" customWidth="1"/>
    <col min="2052" max="2052" width="11.5703125" style="10" customWidth="1"/>
    <col min="2053" max="2053" width="15" style="10" customWidth="1"/>
    <col min="2054" max="2054" width="13.5703125" style="10" customWidth="1"/>
    <col min="2055" max="2055" width="15.5703125" style="10" customWidth="1"/>
    <col min="2056" max="2056" width="9.5703125" style="10" customWidth="1"/>
    <col min="2057" max="2057" width="13.140625" style="10" customWidth="1"/>
    <col min="2058" max="2058" width="15.7109375" style="10" customWidth="1"/>
    <col min="2059" max="2059" width="9.42578125" style="10" customWidth="1"/>
    <col min="2060" max="2060" width="15.140625" style="10" customWidth="1"/>
    <col min="2061" max="2061" width="13.28515625" style="10" customWidth="1"/>
    <col min="2062" max="2062" width="15.5703125" style="10" customWidth="1"/>
    <col min="2063" max="2305" width="12.42578125" style="10"/>
    <col min="2306" max="2306" width="23.7109375" style="10" customWidth="1"/>
    <col min="2307" max="2307" width="10.42578125" style="10" customWidth="1"/>
    <col min="2308" max="2308" width="11.5703125" style="10" customWidth="1"/>
    <col min="2309" max="2309" width="15" style="10" customWidth="1"/>
    <col min="2310" max="2310" width="13.5703125" style="10" customWidth="1"/>
    <col min="2311" max="2311" width="15.5703125" style="10" customWidth="1"/>
    <col min="2312" max="2312" width="9.5703125" style="10" customWidth="1"/>
    <col min="2313" max="2313" width="13.140625" style="10" customWidth="1"/>
    <col min="2314" max="2314" width="15.7109375" style="10" customWidth="1"/>
    <col min="2315" max="2315" width="9.42578125" style="10" customWidth="1"/>
    <col min="2316" max="2316" width="15.140625" style="10" customWidth="1"/>
    <col min="2317" max="2317" width="13.28515625" style="10" customWidth="1"/>
    <col min="2318" max="2318" width="15.5703125" style="10" customWidth="1"/>
    <col min="2319" max="2561" width="12.42578125" style="10"/>
    <col min="2562" max="2562" width="23.7109375" style="10" customWidth="1"/>
    <col min="2563" max="2563" width="10.42578125" style="10" customWidth="1"/>
    <col min="2564" max="2564" width="11.5703125" style="10" customWidth="1"/>
    <col min="2565" max="2565" width="15" style="10" customWidth="1"/>
    <col min="2566" max="2566" width="13.5703125" style="10" customWidth="1"/>
    <col min="2567" max="2567" width="15.5703125" style="10" customWidth="1"/>
    <col min="2568" max="2568" width="9.5703125" style="10" customWidth="1"/>
    <col min="2569" max="2569" width="13.140625" style="10" customWidth="1"/>
    <col min="2570" max="2570" width="15.7109375" style="10" customWidth="1"/>
    <col min="2571" max="2571" width="9.42578125" style="10" customWidth="1"/>
    <col min="2572" max="2572" width="15.140625" style="10" customWidth="1"/>
    <col min="2573" max="2573" width="13.28515625" style="10" customWidth="1"/>
    <col min="2574" max="2574" width="15.5703125" style="10" customWidth="1"/>
    <col min="2575" max="2817" width="12.42578125" style="10"/>
    <col min="2818" max="2818" width="23.7109375" style="10" customWidth="1"/>
    <col min="2819" max="2819" width="10.42578125" style="10" customWidth="1"/>
    <col min="2820" max="2820" width="11.5703125" style="10" customWidth="1"/>
    <col min="2821" max="2821" width="15" style="10" customWidth="1"/>
    <col min="2822" max="2822" width="13.5703125" style="10" customWidth="1"/>
    <col min="2823" max="2823" width="15.5703125" style="10" customWidth="1"/>
    <col min="2824" max="2824" width="9.5703125" style="10" customWidth="1"/>
    <col min="2825" max="2825" width="13.140625" style="10" customWidth="1"/>
    <col min="2826" max="2826" width="15.7109375" style="10" customWidth="1"/>
    <col min="2827" max="2827" width="9.42578125" style="10" customWidth="1"/>
    <col min="2828" max="2828" width="15.140625" style="10" customWidth="1"/>
    <col min="2829" max="2829" width="13.28515625" style="10" customWidth="1"/>
    <col min="2830" max="2830" width="15.5703125" style="10" customWidth="1"/>
    <col min="2831" max="3073" width="12.42578125" style="10"/>
    <col min="3074" max="3074" width="23.7109375" style="10" customWidth="1"/>
    <col min="3075" max="3075" width="10.42578125" style="10" customWidth="1"/>
    <col min="3076" max="3076" width="11.5703125" style="10" customWidth="1"/>
    <col min="3077" max="3077" width="15" style="10" customWidth="1"/>
    <col min="3078" max="3078" width="13.5703125" style="10" customWidth="1"/>
    <col min="3079" max="3079" width="15.5703125" style="10" customWidth="1"/>
    <col min="3080" max="3080" width="9.5703125" style="10" customWidth="1"/>
    <col min="3081" max="3081" width="13.140625" style="10" customWidth="1"/>
    <col min="3082" max="3082" width="15.7109375" style="10" customWidth="1"/>
    <col min="3083" max="3083" width="9.42578125" style="10" customWidth="1"/>
    <col min="3084" max="3084" width="15.140625" style="10" customWidth="1"/>
    <col min="3085" max="3085" width="13.28515625" style="10" customWidth="1"/>
    <col min="3086" max="3086" width="15.5703125" style="10" customWidth="1"/>
    <col min="3087" max="3329" width="12.42578125" style="10"/>
    <col min="3330" max="3330" width="23.7109375" style="10" customWidth="1"/>
    <col min="3331" max="3331" width="10.42578125" style="10" customWidth="1"/>
    <col min="3332" max="3332" width="11.5703125" style="10" customWidth="1"/>
    <col min="3333" max="3333" width="15" style="10" customWidth="1"/>
    <col min="3334" max="3334" width="13.5703125" style="10" customWidth="1"/>
    <col min="3335" max="3335" width="15.5703125" style="10" customWidth="1"/>
    <col min="3336" max="3336" width="9.5703125" style="10" customWidth="1"/>
    <col min="3337" max="3337" width="13.140625" style="10" customWidth="1"/>
    <col min="3338" max="3338" width="15.7109375" style="10" customWidth="1"/>
    <col min="3339" max="3339" width="9.42578125" style="10" customWidth="1"/>
    <col min="3340" max="3340" width="15.140625" style="10" customWidth="1"/>
    <col min="3341" max="3341" width="13.28515625" style="10" customWidth="1"/>
    <col min="3342" max="3342" width="15.5703125" style="10" customWidth="1"/>
    <col min="3343" max="3585" width="12.42578125" style="10"/>
    <col min="3586" max="3586" width="23.7109375" style="10" customWidth="1"/>
    <col min="3587" max="3587" width="10.42578125" style="10" customWidth="1"/>
    <col min="3588" max="3588" width="11.5703125" style="10" customWidth="1"/>
    <col min="3589" max="3589" width="15" style="10" customWidth="1"/>
    <col min="3590" max="3590" width="13.5703125" style="10" customWidth="1"/>
    <col min="3591" max="3591" width="15.5703125" style="10" customWidth="1"/>
    <col min="3592" max="3592" width="9.5703125" style="10" customWidth="1"/>
    <col min="3593" max="3593" width="13.140625" style="10" customWidth="1"/>
    <col min="3594" max="3594" width="15.7109375" style="10" customWidth="1"/>
    <col min="3595" max="3595" width="9.42578125" style="10" customWidth="1"/>
    <col min="3596" max="3596" width="15.140625" style="10" customWidth="1"/>
    <col min="3597" max="3597" width="13.28515625" style="10" customWidth="1"/>
    <col min="3598" max="3598" width="15.5703125" style="10" customWidth="1"/>
    <col min="3599" max="3841" width="12.42578125" style="10"/>
    <col min="3842" max="3842" width="23.7109375" style="10" customWidth="1"/>
    <col min="3843" max="3843" width="10.42578125" style="10" customWidth="1"/>
    <col min="3844" max="3844" width="11.5703125" style="10" customWidth="1"/>
    <col min="3845" max="3845" width="15" style="10" customWidth="1"/>
    <col min="3846" max="3846" width="13.5703125" style="10" customWidth="1"/>
    <col min="3847" max="3847" width="15.5703125" style="10" customWidth="1"/>
    <col min="3848" max="3848" width="9.5703125" style="10" customWidth="1"/>
    <col min="3849" max="3849" width="13.140625" style="10" customWidth="1"/>
    <col min="3850" max="3850" width="15.7109375" style="10" customWidth="1"/>
    <col min="3851" max="3851" width="9.42578125" style="10" customWidth="1"/>
    <col min="3852" max="3852" width="15.140625" style="10" customWidth="1"/>
    <col min="3853" max="3853" width="13.28515625" style="10" customWidth="1"/>
    <col min="3854" max="3854" width="15.5703125" style="10" customWidth="1"/>
    <col min="3855" max="4097" width="12.42578125" style="10"/>
    <col min="4098" max="4098" width="23.7109375" style="10" customWidth="1"/>
    <col min="4099" max="4099" width="10.42578125" style="10" customWidth="1"/>
    <col min="4100" max="4100" width="11.5703125" style="10" customWidth="1"/>
    <col min="4101" max="4101" width="15" style="10" customWidth="1"/>
    <col min="4102" max="4102" width="13.5703125" style="10" customWidth="1"/>
    <col min="4103" max="4103" width="15.5703125" style="10" customWidth="1"/>
    <col min="4104" max="4104" width="9.5703125" style="10" customWidth="1"/>
    <col min="4105" max="4105" width="13.140625" style="10" customWidth="1"/>
    <col min="4106" max="4106" width="15.7109375" style="10" customWidth="1"/>
    <col min="4107" max="4107" width="9.42578125" style="10" customWidth="1"/>
    <col min="4108" max="4108" width="15.140625" style="10" customWidth="1"/>
    <col min="4109" max="4109" width="13.28515625" style="10" customWidth="1"/>
    <col min="4110" max="4110" width="15.5703125" style="10" customWidth="1"/>
    <col min="4111" max="4353" width="12.42578125" style="10"/>
    <col min="4354" max="4354" width="23.7109375" style="10" customWidth="1"/>
    <col min="4355" max="4355" width="10.42578125" style="10" customWidth="1"/>
    <col min="4356" max="4356" width="11.5703125" style="10" customWidth="1"/>
    <col min="4357" max="4357" width="15" style="10" customWidth="1"/>
    <col min="4358" max="4358" width="13.5703125" style="10" customWidth="1"/>
    <col min="4359" max="4359" width="15.5703125" style="10" customWidth="1"/>
    <col min="4360" max="4360" width="9.5703125" style="10" customWidth="1"/>
    <col min="4361" max="4361" width="13.140625" style="10" customWidth="1"/>
    <col min="4362" max="4362" width="15.7109375" style="10" customWidth="1"/>
    <col min="4363" max="4363" width="9.42578125" style="10" customWidth="1"/>
    <col min="4364" max="4364" width="15.140625" style="10" customWidth="1"/>
    <col min="4365" max="4365" width="13.28515625" style="10" customWidth="1"/>
    <col min="4366" max="4366" width="15.5703125" style="10" customWidth="1"/>
    <col min="4367" max="4609" width="12.42578125" style="10"/>
    <col min="4610" max="4610" width="23.7109375" style="10" customWidth="1"/>
    <col min="4611" max="4611" width="10.42578125" style="10" customWidth="1"/>
    <col min="4612" max="4612" width="11.5703125" style="10" customWidth="1"/>
    <col min="4613" max="4613" width="15" style="10" customWidth="1"/>
    <col min="4614" max="4614" width="13.5703125" style="10" customWidth="1"/>
    <col min="4615" max="4615" width="15.5703125" style="10" customWidth="1"/>
    <col min="4616" max="4616" width="9.5703125" style="10" customWidth="1"/>
    <col min="4617" max="4617" width="13.140625" style="10" customWidth="1"/>
    <col min="4618" max="4618" width="15.7109375" style="10" customWidth="1"/>
    <col min="4619" max="4619" width="9.42578125" style="10" customWidth="1"/>
    <col min="4620" max="4620" width="15.140625" style="10" customWidth="1"/>
    <col min="4621" max="4621" width="13.28515625" style="10" customWidth="1"/>
    <col min="4622" max="4622" width="15.5703125" style="10" customWidth="1"/>
    <col min="4623" max="4865" width="12.42578125" style="10"/>
    <col min="4866" max="4866" width="23.7109375" style="10" customWidth="1"/>
    <col min="4867" max="4867" width="10.42578125" style="10" customWidth="1"/>
    <col min="4868" max="4868" width="11.5703125" style="10" customWidth="1"/>
    <col min="4869" max="4869" width="15" style="10" customWidth="1"/>
    <col min="4870" max="4870" width="13.5703125" style="10" customWidth="1"/>
    <col min="4871" max="4871" width="15.5703125" style="10" customWidth="1"/>
    <col min="4872" max="4872" width="9.5703125" style="10" customWidth="1"/>
    <col min="4873" max="4873" width="13.140625" style="10" customWidth="1"/>
    <col min="4874" max="4874" width="15.7109375" style="10" customWidth="1"/>
    <col min="4875" max="4875" width="9.42578125" style="10" customWidth="1"/>
    <col min="4876" max="4876" width="15.140625" style="10" customWidth="1"/>
    <col min="4877" max="4877" width="13.28515625" style="10" customWidth="1"/>
    <col min="4878" max="4878" width="15.5703125" style="10" customWidth="1"/>
    <col min="4879" max="5121" width="12.42578125" style="10"/>
    <col min="5122" max="5122" width="23.7109375" style="10" customWidth="1"/>
    <col min="5123" max="5123" width="10.42578125" style="10" customWidth="1"/>
    <col min="5124" max="5124" width="11.5703125" style="10" customWidth="1"/>
    <col min="5125" max="5125" width="15" style="10" customWidth="1"/>
    <col min="5126" max="5126" width="13.5703125" style="10" customWidth="1"/>
    <col min="5127" max="5127" width="15.5703125" style="10" customWidth="1"/>
    <col min="5128" max="5128" width="9.5703125" style="10" customWidth="1"/>
    <col min="5129" max="5129" width="13.140625" style="10" customWidth="1"/>
    <col min="5130" max="5130" width="15.7109375" style="10" customWidth="1"/>
    <col min="5131" max="5131" width="9.42578125" style="10" customWidth="1"/>
    <col min="5132" max="5132" width="15.140625" style="10" customWidth="1"/>
    <col min="5133" max="5133" width="13.28515625" style="10" customWidth="1"/>
    <col min="5134" max="5134" width="15.5703125" style="10" customWidth="1"/>
    <col min="5135" max="5377" width="12.42578125" style="10"/>
    <col min="5378" max="5378" width="23.7109375" style="10" customWidth="1"/>
    <col min="5379" max="5379" width="10.42578125" style="10" customWidth="1"/>
    <col min="5380" max="5380" width="11.5703125" style="10" customWidth="1"/>
    <col min="5381" max="5381" width="15" style="10" customWidth="1"/>
    <col min="5382" max="5382" width="13.5703125" style="10" customWidth="1"/>
    <col min="5383" max="5383" width="15.5703125" style="10" customWidth="1"/>
    <col min="5384" max="5384" width="9.5703125" style="10" customWidth="1"/>
    <col min="5385" max="5385" width="13.140625" style="10" customWidth="1"/>
    <col min="5386" max="5386" width="15.7109375" style="10" customWidth="1"/>
    <col min="5387" max="5387" width="9.42578125" style="10" customWidth="1"/>
    <col min="5388" max="5388" width="15.140625" style="10" customWidth="1"/>
    <col min="5389" max="5389" width="13.28515625" style="10" customWidth="1"/>
    <col min="5390" max="5390" width="15.5703125" style="10" customWidth="1"/>
    <col min="5391" max="5633" width="12.42578125" style="10"/>
    <col min="5634" max="5634" width="23.7109375" style="10" customWidth="1"/>
    <col min="5635" max="5635" width="10.42578125" style="10" customWidth="1"/>
    <col min="5636" max="5636" width="11.5703125" style="10" customWidth="1"/>
    <col min="5637" max="5637" width="15" style="10" customWidth="1"/>
    <col min="5638" max="5638" width="13.5703125" style="10" customWidth="1"/>
    <col min="5639" max="5639" width="15.5703125" style="10" customWidth="1"/>
    <col min="5640" max="5640" width="9.5703125" style="10" customWidth="1"/>
    <col min="5641" max="5641" width="13.140625" style="10" customWidth="1"/>
    <col min="5642" max="5642" width="15.7109375" style="10" customWidth="1"/>
    <col min="5643" max="5643" width="9.42578125" style="10" customWidth="1"/>
    <col min="5644" max="5644" width="15.140625" style="10" customWidth="1"/>
    <col min="5645" max="5645" width="13.28515625" style="10" customWidth="1"/>
    <col min="5646" max="5646" width="15.5703125" style="10" customWidth="1"/>
    <col min="5647" max="5889" width="12.42578125" style="10"/>
    <col min="5890" max="5890" width="23.7109375" style="10" customWidth="1"/>
    <col min="5891" max="5891" width="10.42578125" style="10" customWidth="1"/>
    <col min="5892" max="5892" width="11.5703125" style="10" customWidth="1"/>
    <col min="5893" max="5893" width="15" style="10" customWidth="1"/>
    <col min="5894" max="5894" width="13.5703125" style="10" customWidth="1"/>
    <col min="5895" max="5895" width="15.5703125" style="10" customWidth="1"/>
    <col min="5896" max="5896" width="9.5703125" style="10" customWidth="1"/>
    <col min="5897" max="5897" width="13.140625" style="10" customWidth="1"/>
    <col min="5898" max="5898" width="15.7109375" style="10" customWidth="1"/>
    <col min="5899" max="5899" width="9.42578125" style="10" customWidth="1"/>
    <col min="5900" max="5900" width="15.140625" style="10" customWidth="1"/>
    <col min="5901" max="5901" width="13.28515625" style="10" customWidth="1"/>
    <col min="5902" max="5902" width="15.5703125" style="10" customWidth="1"/>
    <col min="5903" max="6145" width="12.42578125" style="10"/>
    <col min="6146" max="6146" width="23.7109375" style="10" customWidth="1"/>
    <col min="6147" max="6147" width="10.42578125" style="10" customWidth="1"/>
    <col min="6148" max="6148" width="11.5703125" style="10" customWidth="1"/>
    <col min="6149" max="6149" width="15" style="10" customWidth="1"/>
    <col min="6150" max="6150" width="13.5703125" style="10" customWidth="1"/>
    <col min="6151" max="6151" width="15.5703125" style="10" customWidth="1"/>
    <col min="6152" max="6152" width="9.5703125" style="10" customWidth="1"/>
    <col min="6153" max="6153" width="13.140625" style="10" customWidth="1"/>
    <col min="6154" max="6154" width="15.7109375" style="10" customWidth="1"/>
    <col min="6155" max="6155" width="9.42578125" style="10" customWidth="1"/>
    <col min="6156" max="6156" width="15.140625" style="10" customWidth="1"/>
    <col min="6157" max="6157" width="13.28515625" style="10" customWidth="1"/>
    <col min="6158" max="6158" width="15.5703125" style="10" customWidth="1"/>
    <col min="6159" max="6401" width="12.42578125" style="10"/>
    <col min="6402" max="6402" width="23.7109375" style="10" customWidth="1"/>
    <col min="6403" max="6403" width="10.42578125" style="10" customWidth="1"/>
    <col min="6404" max="6404" width="11.5703125" style="10" customWidth="1"/>
    <col min="6405" max="6405" width="15" style="10" customWidth="1"/>
    <col min="6406" max="6406" width="13.5703125" style="10" customWidth="1"/>
    <col min="6407" max="6407" width="15.5703125" style="10" customWidth="1"/>
    <col min="6408" max="6408" width="9.5703125" style="10" customWidth="1"/>
    <col min="6409" max="6409" width="13.140625" style="10" customWidth="1"/>
    <col min="6410" max="6410" width="15.7109375" style="10" customWidth="1"/>
    <col min="6411" max="6411" width="9.42578125" style="10" customWidth="1"/>
    <col min="6412" max="6412" width="15.140625" style="10" customWidth="1"/>
    <col min="6413" max="6413" width="13.28515625" style="10" customWidth="1"/>
    <col min="6414" max="6414" width="15.5703125" style="10" customWidth="1"/>
    <col min="6415" max="6657" width="12.42578125" style="10"/>
    <col min="6658" max="6658" width="23.7109375" style="10" customWidth="1"/>
    <col min="6659" max="6659" width="10.42578125" style="10" customWidth="1"/>
    <col min="6660" max="6660" width="11.5703125" style="10" customWidth="1"/>
    <col min="6661" max="6661" width="15" style="10" customWidth="1"/>
    <col min="6662" max="6662" width="13.5703125" style="10" customWidth="1"/>
    <col min="6663" max="6663" width="15.5703125" style="10" customWidth="1"/>
    <col min="6664" max="6664" width="9.5703125" style="10" customWidth="1"/>
    <col min="6665" max="6665" width="13.140625" style="10" customWidth="1"/>
    <col min="6666" max="6666" width="15.7109375" style="10" customWidth="1"/>
    <col min="6667" max="6667" width="9.42578125" style="10" customWidth="1"/>
    <col min="6668" max="6668" width="15.140625" style="10" customWidth="1"/>
    <col min="6669" max="6669" width="13.28515625" style="10" customWidth="1"/>
    <col min="6670" max="6670" width="15.5703125" style="10" customWidth="1"/>
    <col min="6671" max="6913" width="12.42578125" style="10"/>
    <col min="6914" max="6914" width="23.7109375" style="10" customWidth="1"/>
    <col min="6915" max="6915" width="10.42578125" style="10" customWidth="1"/>
    <col min="6916" max="6916" width="11.5703125" style="10" customWidth="1"/>
    <col min="6917" max="6917" width="15" style="10" customWidth="1"/>
    <col min="6918" max="6918" width="13.5703125" style="10" customWidth="1"/>
    <col min="6919" max="6919" width="15.5703125" style="10" customWidth="1"/>
    <col min="6920" max="6920" width="9.5703125" style="10" customWidth="1"/>
    <col min="6921" max="6921" width="13.140625" style="10" customWidth="1"/>
    <col min="6922" max="6922" width="15.7109375" style="10" customWidth="1"/>
    <col min="6923" max="6923" width="9.42578125" style="10" customWidth="1"/>
    <col min="6924" max="6924" width="15.140625" style="10" customWidth="1"/>
    <col min="6925" max="6925" width="13.28515625" style="10" customWidth="1"/>
    <col min="6926" max="6926" width="15.5703125" style="10" customWidth="1"/>
    <col min="6927" max="7169" width="12.42578125" style="10"/>
    <col min="7170" max="7170" width="23.7109375" style="10" customWidth="1"/>
    <col min="7171" max="7171" width="10.42578125" style="10" customWidth="1"/>
    <col min="7172" max="7172" width="11.5703125" style="10" customWidth="1"/>
    <col min="7173" max="7173" width="15" style="10" customWidth="1"/>
    <col min="7174" max="7174" width="13.5703125" style="10" customWidth="1"/>
    <col min="7175" max="7175" width="15.5703125" style="10" customWidth="1"/>
    <col min="7176" max="7176" width="9.5703125" style="10" customWidth="1"/>
    <col min="7177" max="7177" width="13.140625" style="10" customWidth="1"/>
    <col min="7178" max="7178" width="15.7109375" style="10" customWidth="1"/>
    <col min="7179" max="7179" width="9.42578125" style="10" customWidth="1"/>
    <col min="7180" max="7180" width="15.140625" style="10" customWidth="1"/>
    <col min="7181" max="7181" width="13.28515625" style="10" customWidth="1"/>
    <col min="7182" max="7182" width="15.5703125" style="10" customWidth="1"/>
    <col min="7183" max="7425" width="12.42578125" style="10"/>
    <col min="7426" max="7426" width="23.7109375" style="10" customWidth="1"/>
    <col min="7427" max="7427" width="10.42578125" style="10" customWidth="1"/>
    <col min="7428" max="7428" width="11.5703125" style="10" customWidth="1"/>
    <col min="7429" max="7429" width="15" style="10" customWidth="1"/>
    <col min="7430" max="7430" width="13.5703125" style="10" customWidth="1"/>
    <col min="7431" max="7431" width="15.5703125" style="10" customWidth="1"/>
    <col min="7432" max="7432" width="9.5703125" style="10" customWidth="1"/>
    <col min="7433" max="7433" width="13.140625" style="10" customWidth="1"/>
    <col min="7434" max="7434" width="15.7109375" style="10" customWidth="1"/>
    <col min="7435" max="7435" width="9.42578125" style="10" customWidth="1"/>
    <col min="7436" max="7436" width="15.140625" style="10" customWidth="1"/>
    <col min="7437" max="7437" width="13.28515625" style="10" customWidth="1"/>
    <col min="7438" max="7438" width="15.5703125" style="10" customWidth="1"/>
    <col min="7439" max="7681" width="12.42578125" style="10"/>
    <col min="7682" max="7682" width="23.7109375" style="10" customWidth="1"/>
    <col min="7683" max="7683" width="10.42578125" style="10" customWidth="1"/>
    <col min="7684" max="7684" width="11.5703125" style="10" customWidth="1"/>
    <col min="7685" max="7685" width="15" style="10" customWidth="1"/>
    <col min="7686" max="7686" width="13.5703125" style="10" customWidth="1"/>
    <col min="7687" max="7687" width="15.5703125" style="10" customWidth="1"/>
    <col min="7688" max="7688" width="9.5703125" style="10" customWidth="1"/>
    <col min="7689" max="7689" width="13.140625" style="10" customWidth="1"/>
    <col min="7690" max="7690" width="15.7109375" style="10" customWidth="1"/>
    <col min="7691" max="7691" width="9.42578125" style="10" customWidth="1"/>
    <col min="7692" max="7692" width="15.140625" style="10" customWidth="1"/>
    <col min="7693" max="7693" width="13.28515625" style="10" customWidth="1"/>
    <col min="7694" max="7694" width="15.5703125" style="10" customWidth="1"/>
    <col min="7695" max="7937" width="12.42578125" style="10"/>
    <col min="7938" max="7938" width="23.7109375" style="10" customWidth="1"/>
    <col min="7939" max="7939" width="10.42578125" style="10" customWidth="1"/>
    <col min="7940" max="7940" width="11.5703125" style="10" customWidth="1"/>
    <col min="7941" max="7941" width="15" style="10" customWidth="1"/>
    <col min="7942" max="7942" width="13.5703125" style="10" customWidth="1"/>
    <col min="7943" max="7943" width="15.5703125" style="10" customWidth="1"/>
    <col min="7944" max="7944" width="9.5703125" style="10" customWidth="1"/>
    <col min="7945" max="7945" width="13.140625" style="10" customWidth="1"/>
    <col min="7946" max="7946" width="15.7109375" style="10" customWidth="1"/>
    <col min="7947" max="7947" width="9.42578125" style="10" customWidth="1"/>
    <col min="7948" max="7948" width="15.140625" style="10" customWidth="1"/>
    <col min="7949" max="7949" width="13.28515625" style="10" customWidth="1"/>
    <col min="7950" max="7950" width="15.5703125" style="10" customWidth="1"/>
    <col min="7951" max="8193" width="12.42578125" style="10"/>
    <col min="8194" max="8194" width="23.7109375" style="10" customWidth="1"/>
    <col min="8195" max="8195" width="10.42578125" style="10" customWidth="1"/>
    <col min="8196" max="8196" width="11.5703125" style="10" customWidth="1"/>
    <col min="8197" max="8197" width="15" style="10" customWidth="1"/>
    <col min="8198" max="8198" width="13.5703125" style="10" customWidth="1"/>
    <col min="8199" max="8199" width="15.5703125" style="10" customWidth="1"/>
    <col min="8200" max="8200" width="9.5703125" style="10" customWidth="1"/>
    <col min="8201" max="8201" width="13.140625" style="10" customWidth="1"/>
    <col min="8202" max="8202" width="15.7109375" style="10" customWidth="1"/>
    <col min="8203" max="8203" width="9.42578125" style="10" customWidth="1"/>
    <col min="8204" max="8204" width="15.140625" style="10" customWidth="1"/>
    <col min="8205" max="8205" width="13.28515625" style="10" customWidth="1"/>
    <col min="8206" max="8206" width="15.5703125" style="10" customWidth="1"/>
    <col min="8207" max="8449" width="12.42578125" style="10"/>
    <col min="8450" max="8450" width="23.7109375" style="10" customWidth="1"/>
    <col min="8451" max="8451" width="10.42578125" style="10" customWidth="1"/>
    <col min="8452" max="8452" width="11.5703125" style="10" customWidth="1"/>
    <col min="8453" max="8453" width="15" style="10" customWidth="1"/>
    <col min="8454" max="8454" width="13.5703125" style="10" customWidth="1"/>
    <col min="8455" max="8455" width="15.5703125" style="10" customWidth="1"/>
    <col min="8456" max="8456" width="9.5703125" style="10" customWidth="1"/>
    <col min="8457" max="8457" width="13.140625" style="10" customWidth="1"/>
    <col min="8458" max="8458" width="15.7109375" style="10" customWidth="1"/>
    <col min="8459" max="8459" width="9.42578125" style="10" customWidth="1"/>
    <col min="8460" max="8460" width="15.140625" style="10" customWidth="1"/>
    <col min="8461" max="8461" width="13.28515625" style="10" customWidth="1"/>
    <col min="8462" max="8462" width="15.5703125" style="10" customWidth="1"/>
    <col min="8463" max="8705" width="12.42578125" style="10"/>
    <col min="8706" max="8706" width="23.7109375" style="10" customWidth="1"/>
    <col min="8707" max="8707" width="10.42578125" style="10" customWidth="1"/>
    <col min="8708" max="8708" width="11.5703125" style="10" customWidth="1"/>
    <col min="8709" max="8709" width="15" style="10" customWidth="1"/>
    <col min="8710" max="8710" width="13.5703125" style="10" customWidth="1"/>
    <col min="8711" max="8711" width="15.5703125" style="10" customWidth="1"/>
    <col min="8712" max="8712" width="9.5703125" style="10" customWidth="1"/>
    <col min="8713" max="8713" width="13.140625" style="10" customWidth="1"/>
    <col min="8714" max="8714" width="15.7109375" style="10" customWidth="1"/>
    <col min="8715" max="8715" width="9.42578125" style="10" customWidth="1"/>
    <col min="8716" max="8716" width="15.140625" style="10" customWidth="1"/>
    <col min="8717" max="8717" width="13.28515625" style="10" customWidth="1"/>
    <col min="8718" max="8718" width="15.5703125" style="10" customWidth="1"/>
    <col min="8719" max="8961" width="12.42578125" style="10"/>
    <col min="8962" max="8962" width="23.7109375" style="10" customWidth="1"/>
    <col min="8963" max="8963" width="10.42578125" style="10" customWidth="1"/>
    <col min="8964" max="8964" width="11.5703125" style="10" customWidth="1"/>
    <col min="8965" max="8965" width="15" style="10" customWidth="1"/>
    <col min="8966" max="8966" width="13.5703125" style="10" customWidth="1"/>
    <col min="8967" max="8967" width="15.5703125" style="10" customWidth="1"/>
    <col min="8968" max="8968" width="9.5703125" style="10" customWidth="1"/>
    <col min="8969" max="8969" width="13.140625" style="10" customWidth="1"/>
    <col min="8970" max="8970" width="15.7109375" style="10" customWidth="1"/>
    <col min="8971" max="8971" width="9.42578125" style="10" customWidth="1"/>
    <col min="8972" max="8972" width="15.140625" style="10" customWidth="1"/>
    <col min="8973" max="8973" width="13.28515625" style="10" customWidth="1"/>
    <col min="8974" max="8974" width="15.5703125" style="10" customWidth="1"/>
    <col min="8975" max="9217" width="12.42578125" style="10"/>
    <col min="9218" max="9218" width="23.7109375" style="10" customWidth="1"/>
    <col min="9219" max="9219" width="10.42578125" style="10" customWidth="1"/>
    <col min="9220" max="9220" width="11.5703125" style="10" customWidth="1"/>
    <col min="9221" max="9221" width="15" style="10" customWidth="1"/>
    <col min="9222" max="9222" width="13.5703125" style="10" customWidth="1"/>
    <col min="9223" max="9223" width="15.5703125" style="10" customWidth="1"/>
    <col min="9224" max="9224" width="9.5703125" style="10" customWidth="1"/>
    <col min="9225" max="9225" width="13.140625" style="10" customWidth="1"/>
    <col min="9226" max="9226" width="15.7109375" style="10" customWidth="1"/>
    <col min="9227" max="9227" width="9.42578125" style="10" customWidth="1"/>
    <col min="9228" max="9228" width="15.140625" style="10" customWidth="1"/>
    <col min="9229" max="9229" width="13.28515625" style="10" customWidth="1"/>
    <col min="9230" max="9230" width="15.5703125" style="10" customWidth="1"/>
    <col min="9231" max="9473" width="12.42578125" style="10"/>
    <col min="9474" max="9474" width="23.7109375" style="10" customWidth="1"/>
    <col min="9475" max="9475" width="10.42578125" style="10" customWidth="1"/>
    <col min="9476" max="9476" width="11.5703125" style="10" customWidth="1"/>
    <col min="9477" max="9477" width="15" style="10" customWidth="1"/>
    <col min="9478" max="9478" width="13.5703125" style="10" customWidth="1"/>
    <col min="9479" max="9479" width="15.5703125" style="10" customWidth="1"/>
    <col min="9480" max="9480" width="9.5703125" style="10" customWidth="1"/>
    <col min="9481" max="9481" width="13.140625" style="10" customWidth="1"/>
    <col min="9482" max="9482" width="15.7109375" style="10" customWidth="1"/>
    <col min="9483" max="9483" width="9.42578125" style="10" customWidth="1"/>
    <col min="9484" max="9484" width="15.140625" style="10" customWidth="1"/>
    <col min="9485" max="9485" width="13.28515625" style="10" customWidth="1"/>
    <col min="9486" max="9486" width="15.5703125" style="10" customWidth="1"/>
    <col min="9487" max="9729" width="12.42578125" style="10"/>
    <col min="9730" max="9730" width="23.7109375" style="10" customWidth="1"/>
    <col min="9731" max="9731" width="10.42578125" style="10" customWidth="1"/>
    <col min="9732" max="9732" width="11.5703125" style="10" customWidth="1"/>
    <col min="9733" max="9733" width="15" style="10" customWidth="1"/>
    <col min="9734" max="9734" width="13.5703125" style="10" customWidth="1"/>
    <col min="9735" max="9735" width="15.5703125" style="10" customWidth="1"/>
    <col min="9736" max="9736" width="9.5703125" style="10" customWidth="1"/>
    <col min="9737" max="9737" width="13.140625" style="10" customWidth="1"/>
    <col min="9738" max="9738" width="15.7109375" style="10" customWidth="1"/>
    <col min="9739" max="9739" width="9.42578125" style="10" customWidth="1"/>
    <col min="9740" max="9740" width="15.140625" style="10" customWidth="1"/>
    <col min="9741" max="9741" width="13.28515625" style="10" customWidth="1"/>
    <col min="9742" max="9742" width="15.5703125" style="10" customWidth="1"/>
    <col min="9743" max="9985" width="12.42578125" style="10"/>
    <col min="9986" max="9986" width="23.7109375" style="10" customWidth="1"/>
    <col min="9987" max="9987" width="10.42578125" style="10" customWidth="1"/>
    <col min="9988" max="9988" width="11.5703125" style="10" customWidth="1"/>
    <col min="9989" max="9989" width="15" style="10" customWidth="1"/>
    <col min="9990" max="9990" width="13.5703125" style="10" customWidth="1"/>
    <col min="9991" max="9991" width="15.5703125" style="10" customWidth="1"/>
    <col min="9992" max="9992" width="9.5703125" style="10" customWidth="1"/>
    <col min="9993" max="9993" width="13.140625" style="10" customWidth="1"/>
    <col min="9994" max="9994" width="15.7109375" style="10" customWidth="1"/>
    <col min="9995" max="9995" width="9.42578125" style="10" customWidth="1"/>
    <col min="9996" max="9996" width="15.140625" style="10" customWidth="1"/>
    <col min="9997" max="9997" width="13.28515625" style="10" customWidth="1"/>
    <col min="9998" max="9998" width="15.5703125" style="10" customWidth="1"/>
    <col min="9999" max="10241" width="12.42578125" style="10"/>
    <col min="10242" max="10242" width="23.7109375" style="10" customWidth="1"/>
    <col min="10243" max="10243" width="10.42578125" style="10" customWidth="1"/>
    <col min="10244" max="10244" width="11.5703125" style="10" customWidth="1"/>
    <col min="10245" max="10245" width="15" style="10" customWidth="1"/>
    <col min="10246" max="10246" width="13.5703125" style="10" customWidth="1"/>
    <col min="10247" max="10247" width="15.5703125" style="10" customWidth="1"/>
    <col min="10248" max="10248" width="9.5703125" style="10" customWidth="1"/>
    <col min="10249" max="10249" width="13.140625" style="10" customWidth="1"/>
    <col min="10250" max="10250" width="15.7109375" style="10" customWidth="1"/>
    <col min="10251" max="10251" width="9.42578125" style="10" customWidth="1"/>
    <col min="10252" max="10252" width="15.140625" style="10" customWidth="1"/>
    <col min="10253" max="10253" width="13.28515625" style="10" customWidth="1"/>
    <col min="10254" max="10254" width="15.5703125" style="10" customWidth="1"/>
    <col min="10255" max="10497" width="12.42578125" style="10"/>
    <col min="10498" max="10498" width="23.7109375" style="10" customWidth="1"/>
    <col min="10499" max="10499" width="10.42578125" style="10" customWidth="1"/>
    <col min="10500" max="10500" width="11.5703125" style="10" customWidth="1"/>
    <col min="10501" max="10501" width="15" style="10" customWidth="1"/>
    <col min="10502" max="10502" width="13.5703125" style="10" customWidth="1"/>
    <col min="10503" max="10503" width="15.5703125" style="10" customWidth="1"/>
    <col min="10504" max="10504" width="9.5703125" style="10" customWidth="1"/>
    <col min="10505" max="10505" width="13.140625" style="10" customWidth="1"/>
    <col min="10506" max="10506" width="15.7109375" style="10" customWidth="1"/>
    <col min="10507" max="10507" width="9.42578125" style="10" customWidth="1"/>
    <col min="10508" max="10508" width="15.140625" style="10" customWidth="1"/>
    <col min="10509" max="10509" width="13.28515625" style="10" customWidth="1"/>
    <col min="10510" max="10510" width="15.5703125" style="10" customWidth="1"/>
    <col min="10511" max="10753" width="12.42578125" style="10"/>
    <col min="10754" max="10754" width="23.7109375" style="10" customWidth="1"/>
    <col min="10755" max="10755" width="10.42578125" style="10" customWidth="1"/>
    <col min="10756" max="10756" width="11.5703125" style="10" customWidth="1"/>
    <col min="10757" max="10757" width="15" style="10" customWidth="1"/>
    <col min="10758" max="10758" width="13.5703125" style="10" customWidth="1"/>
    <col min="10759" max="10759" width="15.5703125" style="10" customWidth="1"/>
    <col min="10760" max="10760" width="9.5703125" style="10" customWidth="1"/>
    <col min="10761" max="10761" width="13.140625" style="10" customWidth="1"/>
    <col min="10762" max="10762" width="15.7109375" style="10" customWidth="1"/>
    <col min="10763" max="10763" width="9.42578125" style="10" customWidth="1"/>
    <col min="10764" max="10764" width="15.140625" style="10" customWidth="1"/>
    <col min="10765" max="10765" width="13.28515625" style="10" customWidth="1"/>
    <col min="10766" max="10766" width="15.5703125" style="10" customWidth="1"/>
    <col min="10767" max="11009" width="12.42578125" style="10"/>
    <col min="11010" max="11010" width="23.7109375" style="10" customWidth="1"/>
    <col min="11011" max="11011" width="10.42578125" style="10" customWidth="1"/>
    <col min="11012" max="11012" width="11.5703125" style="10" customWidth="1"/>
    <col min="11013" max="11013" width="15" style="10" customWidth="1"/>
    <col min="11014" max="11014" width="13.5703125" style="10" customWidth="1"/>
    <col min="11015" max="11015" width="15.5703125" style="10" customWidth="1"/>
    <col min="11016" max="11016" width="9.5703125" style="10" customWidth="1"/>
    <col min="11017" max="11017" width="13.140625" style="10" customWidth="1"/>
    <col min="11018" max="11018" width="15.7109375" style="10" customWidth="1"/>
    <col min="11019" max="11019" width="9.42578125" style="10" customWidth="1"/>
    <col min="11020" max="11020" width="15.140625" style="10" customWidth="1"/>
    <col min="11021" max="11021" width="13.28515625" style="10" customWidth="1"/>
    <col min="11022" max="11022" width="15.5703125" style="10" customWidth="1"/>
    <col min="11023" max="11265" width="12.42578125" style="10"/>
    <col min="11266" max="11266" width="23.7109375" style="10" customWidth="1"/>
    <col min="11267" max="11267" width="10.42578125" style="10" customWidth="1"/>
    <col min="11268" max="11268" width="11.5703125" style="10" customWidth="1"/>
    <col min="11269" max="11269" width="15" style="10" customWidth="1"/>
    <col min="11270" max="11270" width="13.5703125" style="10" customWidth="1"/>
    <col min="11271" max="11271" width="15.5703125" style="10" customWidth="1"/>
    <col min="11272" max="11272" width="9.5703125" style="10" customWidth="1"/>
    <col min="11273" max="11273" width="13.140625" style="10" customWidth="1"/>
    <col min="11274" max="11274" width="15.7109375" style="10" customWidth="1"/>
    <col min="11275" max="11275" width="9.42578125" style="10" customWidth="1"/>
    <col min="11276" max="11276" width="15.140625" style="10" customWidth="1"/>
    <col min="11277" max="11277" width="13.28515625" style="10" customWidth="1"/>
    <col min="11278" max="11278" width="15.5703125" style="10" customWidth="1"/>
    <col min="11279" max="11521" width="12.42578125" style="10"/>
    <col min="11522" max="11522" width="23.7109375" style="10" customWidth="1"/>
    <col min="11523" max="11523" width="10.42578125" style="10" customWidth="1"/>
    <col min="11524" max="11524" width="11.5703125" style="10" customWidth="1"/>
    <col min="11525" max="11525" width="15" style="10" customWidth="1"/>
    <col min="11526" max="11526" width="13.5703125" style="10" customWidth="1"/>
    <col min="11527" max="11527" width="15.5703125" style="10" customWidth="1"/>
    <col min="11528" max="11528" width="9.5703125" style="10" customWidth="1"/>
    <col min="11529" max="11529" width="13.140625" style="10" customWidth="1"/>
    <col min="11530" max="11530" width="15.7109375" style="10" customWidth="1"/>
    <col min="11531" max="11531" width="9.42578125" style="10" customWidth="1"/>
    <col min="11532" max="11532" width="15.140625" style="10" customWidth="1"/>
    <col min="11533" max="11533" width="13.28515625" style="10" customWidth="1"/>
    <col min="11534" max="11534" width="15.5703125" style="10" customWidth="1"/>
    <col min="11535" max="11777" width="12.42578125" style="10"/>
    <col min="11778" max="11778" width="23.7109375" style="10" customWidth="1"/>
    <col min="11779" max="11779" width="10.42578125" style="10" customWidth="1"/>
    <col min="11780" max="11780" width="11.5703125" style="10" customWidth="1"/>
    <col min="11781" max="11781" width="15" style="10" customWidth="1"/>
    <col min="11782" max="11782" width="13.5703125" style="10" customWidth="1"/>
    <col min="11783" max="11783" width="15.5703125" style="10" customWidth="1"/>
    <col min="11784" max="11784" width="9.5703125" style="10" customWidth="1"/>
    <col min="11785" max="11785" width="13.140625" style="10" customWidth="1"/>
    <col min="11786" max="11786" width="15.7109375" style="10" customWidth="1"/>
    <col min="11787" max="11787" width="9.42578125" style="10" customWidth="1"/>
    <col min="11788" max="11788" width="15.140625" style="10" customWidth="1"/>
    <col min="11789" max="11789" width="13.28515625" style="10" customWidth="1"/>
    <col min="11790" max="11790" width="15.5703125" style="10" customWidth="1"/>
    <col min="11791" max="12033" width="12.42578125" style="10"/>
    <col min="12034" max="12034" width="23.7109375" style="10" customWidth="1"/>
    <col min="12035" max="12035" width="10.42578125" style="10" customWidth="1"/>
    <col min="12036" max="12036" width="11.5703125" style="10" customWidth="1"/>
    <col min="12037" max="12037" width="15" style="10" customWidth="1"/>
    <col min="12038" max="12038" width="13.5703125" style="10" customWidth="1"/>
    <col min="12039" max="12039" width="15.5703125" style="10" customWidth="1"/>
    <col min="12040" max="12040" width="9.5703125" style="10" customWidth="1"/>
    <col min="12041" max="12041" width="13.140625" style="10" customWidth="1"/>
    <col min="12042" max="12042" width="15.7109375" style="10" customWidth="1"/>
    <col min="12043" max="12043" width="9.42578125" style="10" customWidth="1"/>
    <col min="12044" max="12044" width="15.140625" style="10" customWidth="1"/>
    <col min="12045" max="12045" width="13.28515625" style="10" customWidth="1"/>
    <col min="12046" max="12046" width="15.5703125" style="10" customWidth="1"/>
    <col min="12047" max="12289" width="12.42578125" style="10"/>
    <col min="12290" max="12290" width="23.7109375" style="10" customWidth="1"/>
    <col min="12291" max="12291" width="10.42578125" style="10" customWidth="1"/>
    <col min="12292" max="12292" width="11.5703125" style="10" customWidth="1"/>
    <col min="12293" max="12293" width="15" style="10" customWidth="1"/>
    <col min="12294" max="12294" width="13.5703125" style="10" customWidth="1"/>
    <col min="12295" max="12295" width="15.5703125" style="10" customWidth="1"/>
    <col min="12296" max="12296" width="9.5703125" style="10" customWidth="1"/>
    <col min="12297" max="12297" width="13.140625" style="10" customWidth="1"/>
    <col min="12298" max="12298" width="15.7109375" style="10" customWidth="1"/>
    <col min="12299" max="12299" width="9.42578125" style="10" customWidth="1"/>
    <col min="12300" max="12300" width="15.140625" style="10" customWidth="1"/>
    <col min="12301" max="12301" width="13.28515625" style="10" customWidth="1"/>
    <col min="12302" max="12302" width="15.5703125" style="10" customWidth="1"/>
    <col min="12303" max="12545" width="12.42578125" style="10"/>
    <col min="12546" max="12546" width="23.7109375" style="10" customWidth="1"/>
    <col min="12547" max="12547" width="10.42578125" style="10" customWidth="1"/>
    <col min="12548" max="12548" width="11.5703125" style="10" customWidth="1"/>
    <col min="12549" max="12549" width="15" style="10" customWidth="1"/>
    <col min="12550" max="12550" width="13.5703125" style="10" customWidth="1"/>
    <col min="12551" max="12551" width="15.5703125" style="10" customWidth="1"/>
    <col min="12552" max="12552" width="9.5703125" style="10" customWidth="1"/>
    <col min="12553" max="12553" width="13.140625" style="10" customWidth="1"/>
    <col min="12554" max="12554" width="15.7109375" style="10" customWidth="1"/>
    <col min="12555" max="12555" width="9.42578125" style="10" customWidth="1"/>
    <col min="12556" max="12556" width="15.140625" style="10" customWidth="1"/>
    <col min="12557" max="12557" width="13.28515625" style="10" customWidth="1"/>
    <col min="12558" max="12558" width="15.5703125" style="10" customWidth="1"/>
    <col min="12559" max="12801" width="12.42578125" style="10"/>
    <col min="12802" max="12802" width="23.7109375" style="10" customWidth="1"/>
    <col min="12803" max="12803" width="10.42578125" style="10" customWidth="1"/>
    <col min="12804" max="12804" width="11.5703125" style="10" customWidth="1"/>
    <col min="12805" max="12805" width="15" style="10" customWidth="1"/>
    <col min="12806" max="12806" width="13.5703125" style="10" customWidth="1"/>
    <col min="12807" max="12807" width="15.5703125" style="10" customWidth="1"/>
    <col min="12808" max="12808" width="9.5703125" style="10" customWidth="1"/>
    <col min="12809" max="12809" width="13.140625" style="10" customWidth="1"/>
    <col min="12810" max="12810" width="15.7109375" style="10" customWidth="1"/>
    <col min="12811" max="12811" width="9.42578125" style="10" customWidth="1"/>
    <col min="12812" max="12812" width="15.140625" style="10" customWidth="1"/>
    <col min="12813" max="12813" width="13.28515625" style="10" customWidth="1"/>
    <col min="12814" max="12814" width="15.5703125" style="10" customWidth="1"/>
    <col min="12815" max="13057" width="12.42578125" style="10"/>
    <col min="13058" max="13058" width="23.7109375" style="10" customWidth="1"/>
    <col min="13059" max="13059" width="10.42578125" style="10" customWidth="1"/>
    <col min="13060" max="13060" width="11.5703125" style="10" customWidth="1"/>
    <col min="13061" max="13061" width="15" style="10" customWidth="1"/>
    <col min="13062" max="13062" width="13.5703125" style="10" customWidth="1"/>
    <col min="13063" max="13063" width="15.5703125" style="10" customWidth="1"/>
    <col min="13064" max="13064" width="9.5703125" style="10" customWidth="1"/>
    <col min="13065" max="13065" width="13.140625" style="10" customWidth="1"/>
    <col min="13066" max="13066" width="15.7109375" style="10" customWidth="1"/>
    <col min="13067" max="13067" width="9.42578125" style="10" customWidth="1"/>
    <col min="13068" max="13068" width="15.140625" style="10" customWidth="1"/>
    <col min="13069" max="13069" width="13.28515625" style="10" customWidth="1"/>
    <col min="13070" max="13070" width="15.5703125" style="10" customWidth="1"/>
    <col min="13071" max="13313" width="12.42578125" style="10"/>
    <col min="13314" max="13314" width="23.7109375" style="10" customWidth="1"/>
    <col min="13315" max="13315" width="10.42578125" style="10" customWidth="1"/>
    <col min="13316" max="13316" width="11.5703125" style="10" customWidth="1"/>
    <col min="13317" max="13317" width="15" style="10" customWidth="1"/>
    <col min="13318" max="13318" width="13.5703125" style="10" customWidth="1"/>
    <col min="13319" max="13319" width="15.5703125" style="10" customWidth="1"/>
    <col min="13320" max="13320" width="9.5703125" style="10" customWidth="1"/>
    <col min="13321" max="13321" width="13.140625" style="10" customWidth="1"/>
    <col min="13322" max="13322" width="15.7109375" style="10" customWidth="1"/>
    <col min="13323" max="13323" width="9.42578125" style="10" customWidth="1"/>
    <col min="13324" max="13324" width="15.140625" style="10" customWidth="1"/>
    <col min="13325" max="13325" width="13.28515625" style="10" customWidth="1"/>
    <col min="13326" max="13326" width="15.5703125" style="10" customWidth="1"/>
    <col min="13327" max="13569" width="12.42578125" style="10"/>
    <col min="13570" max="13570" width="23.7109375" style="10" customWidth="1"/>
    <col min="13571" max="13571" width="10.42578125" style="10" customWidth="1"/>
    <col min="13572" max="13572" width="11.5703125" style="10" customWidth="1"/>
    <col min="13573" max="13573" width="15" style="10" customWidth="1"/>
    <col min="13574" max="13574" width="13.5703125" style="10" customWidth="1"/>
    <col min="13575" max="13575" width="15.5703125" style="10" customWidth="1"/>
    <col min="13576" max="13576" width="9.5703125" style="10" customWidth="1"/>
    <col min="13577" max="13577" width="13.140625" style="10" customWidth="1"/>
    <col min="13578" max="13578" width="15.7109375" style="10" customWidth="1"/>
    <col min="13579" max="13579" width="9.42578125" style="10" customWidth="1"/>
    <col min="13580" max="13580" width="15.140625" style="10" customWidth="1"/>
    <col min="13581" max="13581" width="13.28515625" style="10" customWidth="1"/>
    <col min="13582" max="13582" width="15.5703125" style="10" customWidth="1"/>
    <col min="13583" max="13825" width="12.42578125" style="10"/>
    <col min="13826" max="13826" width="23.7109375" style="10" customWidth="1"/>
    <col min="13827" max="13827" width="10.42578125" style="10" customWidth="1"/>
    <col min="13828" max="13828" width="11.5703125" style="10" customWidth="1"/>
    <col min="13829" max="13829" width="15" style="10" customWidth="1"/>
    <col min="13830" max="13830" width="13.5703125" style="10" customWidth="1"/>
    <col min="13831" max="13831" width="15.5703125" style="10" customWidth="1"/>
    <col min="13832" max="13832" width="9.5703125" style="10" customWidth="1"/>
    <col min="13833" max="13833" width="13.140625" style="10" customWidth="1"/>
    <col min="13834" max="13834" width="15.7109375" style="10" customWidth="1"/>
    <col min="13835" max="13835" width="9.42578125" style="10" customWidth="1"/>
    <col min="13836" max="13836" width="15.140625" style="10" customWidth="1"/>
    <col min="13837" max="13837" width="13.28515625" style="10" customWidth="1"/>
    <col min="13838" max="13838" width="15.5703125" style="10" customWidth="1"/>
    <col min="13839" max="14081" width="12.42578125" style="10"/>
    <col min="14082" max="14082" width="23.7109375" style="10" customWidth="1"/>
    <col min="14083" max="14083" width="10.42578125" style="10" customWidth="1"/>
    <col min="14084" max="14084" width="11.5703125" style="10" customWidth="1"/>
    <col min="14085" max="14085" width="15" style="10" customWidth="1"/>
    <col min="14086" max="14086" width="13.5703125" style="10" customWidth="1"/>
    <col min="14087" max="14087" width="15.5703125" style="10" customWidth="1"/>
    <col min="14088" max="14088" width="9.5703125" style="10" customWidth="1"/>
    <col min="14089" max="14089" width="13.140625" style="10" customWidth="1"/>
    <col min="14090" max="14090" width="15.7109375" style="10" customWidth="1"/>
    <col min="14091" max="14091" width="9.42578125" style="10" customWidth="1"/>
    <col min="14092" max="14092" width="15.140625" style="10" customWidth="1"/>
    <col min="14093" max="14093" width="13.28515625" style="10" customWidth="1"/>
    <col min="14094" max="14094" width="15.5703125" style="10" customWidth="1"/>
    <col min="14095" max="14337" width="12.42578125" style="10"/>
    <col min="14338" max="14338" width="23.7109375" style="10" customWidth="1"/>
    <col min="14339" max="14339" width="10.42578125" style="10" customWidth="1"/>
    <col min="14340" max="14340" width="11.5703125" style="10" customWidth="1"/>
    <col min="14341" max="14341" width="15" style="10" customWidth="1"/>
    <col min="14342" max="14342" width="13.5703125" style="10" customWidth="1"/>
    <col min="14343" max="14343" width="15.5703125" style="10" customWidth="1"/>
    <col min="14344" max="14344" width="9.5703125" style="10" customWidth="1"/>
    <col min="14345" max="14345" width="13.140625" style="10" customWidth="1"/>
    <col min="14346" max="14346" width="15.7109375" style="10" customWidth="1"/>
    <col min="14347" max="14347" width="9.42578125" style="10" customWidth="1"/>
    <col min="14348" max="14348" width="15.140625" style="10" customWidth="1"/>
    <col min="14349" max="14349" width="13.28515625" style="10" customWidth="1"/>
    <col min="14350" max="14350" width="15.5703125" style="10" customWidth="1"/>
    <col min="14351" max="14593" width="12.42578125" style="10"/>
    <col min="14594" max="14594" width="23.7109375" style="10" customWidth="1"/>
    <col min="14595" max="14595" width="10.42578125" style="10" customWidth="1"/>
    <col min="14596" max="14596" width="11.5703125" style="10" customWidth="1"/>
    <col min="14597" max="14597" width="15" style="10" customWidth="1"/>
    <col min="14598" max="14598" width="13.5703125" style="10" customWidth="1"/>
    <col min="14599" max="14599" width="15.5703125" style="10" customWidth="1"/>
    <col min="14600" max="14600" width="9.5703125" style="10" customWidth="1"/>
    <col min="14601" max="14601" width="13.140625" style="10" customWidth="1"/>
    <col min="14602" max="14602" width="15.7109375" style="10" customWidth="1"/>
    <col min="14603" max="14603" width="9.42578125" style="10" customWidth="1"/>
    <col min="14604" max="14604" width="15.140625" style="10" customWidth="1"/>
    <col min="14605" max="14605" width="13.28515625" style="10" customWidth="1"/>
    <col min="14606" max="14606" width="15.5703125" style="10" customWidth="1"/>
    <col min="14607" max="14849" width="12.42578125" style="10"/>
    <col min="14850" max="14850" width="23.7109375" style="10" customWidth="1"/>
    <col min="14851" max="14851" width="10.42578125" style="10" customWidth="1"/>
    <col min="14852" max="14852" width="11.5703125" style="10" customWidth="1"/>
    <col min="14853" max="14853" width="15" style="10" customWidth="1"/>
    <col min="14854" max="14854" width="13.5703125" style="10" customWidth="1"/>
    <col min="14855" max="14855" width="15.5703125" style="10" customWidth="1"/>
    <col min="14856" max="14856" width="9.5703125" style="10" customWidth="1"/>
    <col min="14857" max="14857" width="13.140625" style="10" customWidth="1"/>
    <col min="14858" max="14858" width="15.7109375" style="10" customWidth="1"/>
    <col min="14859" max="14859" width="9.42578125" style="10" customWidth="1"/>
    <col min="14860" max="14860" width="15.140625" style="10" customWidth="1"/>
    <col min="14861" max="14861" width="13.28515625" style="10" customWidth="1"/>
    <col min="14862" max="14862" width="15.5703125" style="10" customWidth="1"/>
    <col min="14863" max="15105" width="12.42578125" style="10"/>
    <col min="15106" max="15106" width="23.7109375" style="10" customWidth="1"/>
    <col min="15107" max="15107" width="10.42578125" style="10" customWidth="1"/>
    <col min="15108" max="15108" width="11.5703125" style="10" customWidth="1"/>
    <col min="15109" max="15109" width="15" style="10" customWidth="1"/>
    <col min="15110" max="15110" width="13.5703125" style="10" customWidth="1"/>
    <col min="15111" max="15111" width="15.5703125" style="10" customWidth="1"/>
    <col min="15112" max="15112" width="9.5703125" style="10" customWidth="1"/>
    <col min="15113" max="15113" width="13.140625" style="10" customWidth="1"/>
    <col min="15114" max="15114" width="15.7109375" style="10" customWidth="1"/>
    <col min="15115" max="15115" width="9.42578125" style="10" customWidth="1"/>
    <col min="15116" max="15116" width="15.140625" style="10" customWidth="1"/>
    <col min="15117" max="15117" width="13.28515625" style="10" customWidth="1"/>
    <col min="15118" max="15118" width="15.5703125" style="10" customWidth="1"/>
    <col min="15119" max="15361" width="12.42578125" style="10"/>
    <col min="15362" max="15362" width="23.7109375" style="10" customWidth="1"/>
    <col min="15363" max="15363" width="10.42578125" style="10" customWidth="1"/>
    <col min="15364" max="15364" width="11.5703125" style="10" customWidth="1"/>
    <col min="15365" max="15365" width="15" style="10" customWidth="1"/>
    <col min="15366" max="15366" width="13.5703125" style="10" customWidth="1"/>
    <col min="15367" max="15367" width="15.5703125" style="10" customWidth="1"/>
    <col min="15368" max="15368" width="9.5703125" style="10" customWidth="1"/>
    <col min="15369" max="15369" width="13.140625" style="10" customWidth="1"/>
    <col min="15370" max="15370" width="15.7109375" style="10" customWidth="1"/>
    <col min="15371" max="15371" width="9.42578125" style="10" customWidth="1"/>
    <col min="15372" max="15372" width="15.140625" style="10" customWidth="1"/>
    <col min="15373" max="15373" width="13.28515625" style="10" customWidth="1"/>
    <col min="15374" max="15374" width="15.5703125" style="10" customWidth="1"/>
    <col min="15375" max="15617" width="12.42578125" style="10"/>
    <col min="15618" max="15618" width="23.7109375" style="10" customWidth="1"/>
    <col min="15619" max="15619" width="10.42578125" style="10" customWidth="1"/>
    <col min="15620" max="15620" width="11.5703125" style="10" customWidth="1"/>
    <col min="15621" max="15621" width="15" style="10" customWidth="1"/>
    <col min="15622" max="15622" width="13.5703125" style="10" customWidth="1"/>
    <col min="15623" max="15623" width="15.5703125" style="10" customWidth="1"/>
    <col min="15624" max="15624" width="9.5703125" style="10" customWidth="1"/>
    <col min="15625" max="15625" width="13.140625" style="10" customWidth="1"/>
    <col min="15626" max="15626" width="15.7109375" style="10" customWidth="1"/>
    <col min="15627" max="15627" width="9.42578125" style="10" customWidth="1"/>
    <col min="15628" max="15628" width="15.140625" style="10" customWidth="1"/>
    <col min="15629" max="15629" width="13.28515625" style="10" customWidth="1"/>
    <col min="15630" max="15630" width="15.5703125" style="10" customWidth="1"/>
    <col min="15631" max="15873" width="12.42578125" style="10"/>
    <col min="15874" max="15874" width="23.7109375" style="10" customWidth="1"/>
    <col min="15875" max="15875" width="10.42578125" style="10" customWidth="1"/>
    <col min="15876" max="15876" width="11.5703125" style="10" customWidth="1"/>
    <col min="15877" max="15877" width="15" style="10" customWidth="1"/>
    <col min="15878" max="15878" width="13.5703125" style="10" customWidth="1"/>
    <col min="15879" max="15879" width="15.5703125" style="10" customWidth="1"/>
    <col min="15880" max="15880" width="9.5703125" style="10" customWidth="1"/>
    <col min="15881" max="15881" width="13.140625" style="10" customWidth="1"/>
    <col min="15882" max="15882" width="15.7109375" style="10" customWidth="1"/>
    <col min="15883" max="15883" width="9.42578125" style="10" customWidth="1"/>
    <col min="15884" max="15884" width="15.140625" style="10" customWidth="1"/>
    <col min="15885" max="15885" width="13.28515625" style="10" customWidth="1"/>
    <col min="15886" max="15886" width="15.5703125" style="10" customWidth="1"/>
    <col min="15887" max="16129" width="12.42578125" style="10"/>
    <col min="16130" max="16130" width="23.7109375" style="10" customWidth="1"/>
    <col min="16131" max="16131" width="10.42578125" style="10" customWidth="1"/>
    <col min="16132" max="16132" width="11.5703125" style="10" customWidth="1"/>
    <col min="16133" max="16133" width="15" style="10" customWidth="1"/>
    <col min="16134" max="16134" width="13.5703125" style="10" customWidth="1"/>
    <col min="16135" max="16135" width="15.5703125" style="10" customWidth="1"/>
    <col min="16136" max="16136" width="9.5703125" style="10" customWidth="1"/>
    <col min="16137" max="16137" width="13.140625" style="10" customWidth="1"/>
    <col min="16138" max="16138" width="15.7109375" style="10" customWidth="1"/>
    <col min="16139" max="16139" width="9.42578125" style="10" customWidth="1"/>
    <col min="16140" max="16140" width="15.140625" style="10" customWidth="1"/>
    <col min="16141" max="16141" width="13.28515625" style="10" customWidth="1"/>
    <col min="16142" max="16142" width="15.5703125" style="10" customWidth="1"/>
    <col min="16143" max="16384" width="12.42578125" style="10"/>
  </cols>
  <sheetData>
    <row r="1" spans="1:19" ht="3" customHeight="1">
      <c r="B1" s="9" t="s">
        <v>41</v>
      </c>
    </row>
    <row r="2" spans="1:19" ht="16.5">
      <c r="B2" s="11" t="s">
        <v>42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9" ht="26.25" customHeight="1">
      <c r="B3" s="12" t="s">
        <v>43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</row>
    <row r="4" spans="1:19" ht="31.5">
      <c r="D4" s="80" t="s">
        <v>44</v>
      </c>
      <c r="E4" s="80" t="s">
        <v>44</v>
      </c>
      <c r="F4" s="80" t="s">
        <v>44</v>
      </c>
      <c r="G4" s="80" t="s">
        <v>44</v>
      </c>
      <c r="H4" s="80" t="s">
        <v>44</v>
      </c>
      <c r="I4" s="80" t="s">
        <v>44</v>
      </c>
      <c r="J4" s="81" t="s">
        <v>45</v>
      </c>
      <c r="K4" s="80" t="s">
        <v>46</v>
      </c>
      <c r="L4" s="80" t="s">
        <v>46</v>
      </c>
      <c r="M4" s="80" t="s">
        <v>46</v>
      </c>
      <c r="N4" s="80" t="s">
        <v>46</v>
      </c>
    </row>
    <row r="5" spans="1:19" ht="47.25">
      <c r="A5" s="77" t="s">
        <v>86</v>
      </c>
      <c r="B5" s="78" t="s">
        <v>11</v>
      </c>
      <c r="C5" s="79" t="s">
        <v>1</v>
      </c>
      <c r="D5" s="23" t="s">
        <v>1</v>
      </c>
      <c r="E5" s="24" t="s">
        <v>47</v>
      </c>
      <c r="F5" s="25" t="s">
        <v>48</v>
      </c>
      <c r="G5" s="25" t="s">
        <v>49</v>
      </c>
      <c r="H5" s="26" t="s">
        <v>50</v>
      </c>
      <c r="I5" s="27" t="s">
        <v>51</v>
      </c>
      <c r="J5" s="81" t="s">
        <v>87</v>
      </c>
      <c r="K5" s="29" t="s">
        <v>1</v>
      </c>
      <c r="L5" s="30" t="s">
        <v>52</v>
      </c>
      <c r="M5" s="30" t="s">
        <v>53</v>
      </c>
      <c r="N5" s="25" t="s">
        <v>51</v>
      </c>
    </row>
    <row r="6" spans="1:19" ht="63">
      <c r="A6" s="82" t="str">
        <f>A5</f>
        <v>Type</v>
      </c>
      <c r="B6" s="82" t="str">
        <f t="shared" ref="B6:C6" si="0">B5</f>
        <v>Year</v>
      </c>
      <c r="C6" s="82" t="str">
        <f t="shared" si="0"/>
        <v>Total</v>
      </c>
      <c r="D6" s="82" t="str">
        <f>D4&amp;" - "&amp;D5</f>
        <v>Occupants - Total</v>
      </c>
      <c r="E6" s="82" t="str">
        <f t="shared" ref="E6:N6" si="1">E4&amp;" - "&amp;E5</f>
        <v>Occupants - Passenger cars</v>
      </c>
      <c r="F6" s="82" t="str">
        <f t="shared" si="1"/>
        <v>Occupants - Light trucks \1</v>
      </c>
      <c r="G6" s="82" t="str">
        <f t="shared" si="1"/>
        <v>Occupants - Large trucks \1</v>
      </c>
      <c r="H6" s="82" t="str">
        <f t="shared" si="1"/>
        <v>Occupants - Buses</v>
      </c>
      <c r="I6" s="82" t="str">
        <f t="shared" si="1"/>
        <v>Occupants - Other/ unknown \3</v>
      </c>
      <c r="J6" s="82" t="str">
        <f>J5</f>
        <v>Motorcycle riders \3</v>
      </c>
      <c r="K6" s="82" t="str">
        <f t="shared" si="1"/>
        <v>Nonoccupants - Total</v>
      </c>
      <c r="L6" s="82" t="str">
        <f t="shared" si="1"/>
        <v>Nonoccupants - Pedestrian</v>
      </c>
      <c r="M6" s="82" t="str">
        <f t="shared" si="1"/>
        <v>Nonoccupants - Pedal-cyclist</v>
      </c>
      <c r="N6" s="82" t="str">
        <f t="shared" si="1"/>
        <v>Nonoccupants - Other/ unknown \3</v>
      </c>
    </row>
    <row r="7" spans="1:19">
      <c r="A7" s="77" t="s">
        <v>84</v>
      </c>
      <c r="B7" s="38">
        <v>1975</v>
      </c>
      <c r="C7" s="35">
        <v>44525</v>
      </c>
      <c r="D7" s="35">
        <v>32736</v>
      </c>
      <c r="E7" s="36">
        <v>25929</v>
      </c>
      <c r="F7" s="36">
        <v>4856</v>
      </c>
      <c r="G7" s="10">
        <v>961</v>
      </c>
      <c r="H7" s="10">
        <v>53</v>
      </c>
      <c r="I7" s="10">
        <v>937</v>
      </c>
      <c r="J7" s="37">
        <v>3189</v>
      </c>
      <c r="K7" s="35">
        <v>8600</v>
      </c>
      <c r="L7" s="36">
        <v>7516</v>
      </c>
      <c r="M7" s="36">
        <v>1003</v>
      </c>
      <c r="N7" s="10">
        <v>81</v>
      </c>
    </row>
    <row r="8" spans="1:19">
      <c r="A8" s="77" t="s">
        <v>84</v>
      </c>
      <c r="B8" s="38">
        <v>1976</v>
      </c>
      <c r="C8" s="35">
        <v>45523</v>
      </c>
      <c r="D8" s="35">
        <v>33790</v>
      </c>
      <c r="E8" s="36">
        <v>26166</v>
      </c>
      <c r="F8" s="36">
        <v>5438</v>
      </c>
      <c r="G8" s="36">
        <v>1132</v>
      </c>
      <c r="H8" s="10">
        <v>73</v>
      </c>
      <c r="I8" s="10">
        <v>981</v>
      </c>
      <c r="J8" s="37">
        <v>3312</v>
      </c>
      <c r="K8" s="35">
        <v>8421</v>
      </c>
      <c r="L8" s="36">
        <v>7427</v>
      </c>
      <c r="M8" s="10">
        <v>914</v>
      </c>
      <c r="N8" s="10">
        <v>80</v>
      </c>
    </row>
    <row r="9" spans="1:19">
      <c r="A9" s="77" t="s">
        <v>84</v>
      </c>
      <c r="B9" s="38">
        <v>1977</v>
      </c>
      <c r="C9" s="35">
        <v>47878</v>
      </c>
      <c r="D9" s="35">
        <v>35046</v>
      </c>
      <c r="E9" s="36">
        <v>26782</v>
      </c>
      <c r="F9" s="36">
        <v>5976</v>
      </c>
      <c r="G9" s="36">
        <v>1287</v>
      </c>
      <c r="H9" s="10">
        <v>42</v>
      </c>
      <c r="I9" s="10">
        <v>959</v>
      </c>
      <c r="J9" s="37">
        <v>4104</v>
      </c>
      <c r="K9" s="35">
        <v>8728</v>
      </c>
      <c r="L9" s="36">
        <v>7732</v>
      </c>
      <c r="M9" s="10">
        <v>922</v>
      </c>
      <c r="N9" s="10">
        <v>74</v>
      </c>
      <c r="P9" s="1" t="s">
        <v>88</v>
      </c>
      <c r="Q9" s="1" t="s">
        <v>86</v>
      </c>
      <c r="R9"/>
      <c r="S9"/>
    </row>
    <row r="10" spans="1:19">
      <c r="A10" s="77" t="s">
        <v>84</v>
      </c>
      <c r="B10" s="38">
        <v>1978</v>
      </c>
      <c r="C10" s="35">
        <v>50331</v>
      </c>
      <c r="D10" s="35">
        <v>36956</v>
      </c>
      <c r="E10" s="36">
        <v>28153</v>
      </c>
      <c r="F10" s="36">
        <v>6745</v>
      </c>
      <c r="G10" s="36">
        <v>1395</v>
      </c>
      <c r="H10" s="10">
        <v>41</v>
      </c>
      <c r="I10" s="10">
        <v>622</v>
      </c>
      <c r="J10" s="37">
        <v>4577</v>
      </c>
      <c r="K10" s="35">
        <v>8798</v>
      </c>
      <c r="L10" s="36">
        <v>7795</v>
      </c>
      <c r="M10" s="10">
        <v>892</v>
      </c>
      <c r="N10" s="10">
        <v>111</v>
      </c>
      <c r="P10" s="1" t="s">
        <v>11</v>
      </c>
      <c r="Q10" t="s">
        <v>85</v>
      </c>
      <c r="R10" t="s">
        <v>84</v>
      </c>
      <c r="S10" t="s">
        <v>0</v>
      </c>
    </row>
    <row r="11" spans="1:19">
      <c r="A11" s="77" t="s">
        <v>84</v>
      </c>
      <c r="B11" s="38">
        <v>1979</v>
      </c>
      <c r="C11" s="35">
        <v>51093</v>
      </c>
      <c r="D11" s="35">
        <v>37036</v>
      </c>
      <c r="E11" s="36">
        <v>27808</v>
      </c>
      <c r="F11" s="36">
        <v>7178</v>
      </c>
      <c r="G11" s="36">
        <v>1432</v>
      </c>
      <c r="H11" s="10">
        <v>39</v>
      </c>
      <c r="I11" s="10">
        <v>579</v>
      </c>
      <c r="J11" s="37">
        <v>4894</v>
      </c>
      <c r="K11" s="35">
        <v>9163</v>
      </c>
      <c r="L11" s="36">
        <v>8096</v>
      </c>
      <c r="M11" s="10">
        <v>932</v>
      </c>
      <c r="N11" s="10">
        <v>135</v>
      </c>
      <c r="P11">
        <v>1994</v>
      </c>
      <c r="Q11" s="2">
        <v>3045000</v>
      </c>
      <c r="R11" s="2">
        <v>31998</v>
      </c>
      <c r="S11" s="2">
        <v>3076998</v>
      </c>
    </row>
    <row r="12" spans="1:19">
      <c r="A12" s="77" t="s">
        <v>84</v>
      </c>
      <c r="B12" s="38">
        <v>1980</v>
      </c>
      <c r="C12" s="35">
        <v>51091</v>
      </c>
      <c r="D12" s="35">
        <v>36783</v>
      </c>
      <c r="E12" s="36">
        <v>27449</v>
      </c>
      <c r="F12" s="36">
        <v>7486</v>
      </c>
      <c r="G12" s="36">
        <v>1262</v>
      </c>
      <c r="H12" s="10">
        <v>46</v>
      </c>
      <c r="I12" s="10">
        <v>540</v>
      </c>
      <c r="J12" s="37">
        <v>5144</v>
      </c>
      <c r="K12" s="35">
        <v>9164</v>
      </c>
      <c r="L12" s="36">
        <v>8070</v>
      </c>
      <c r="M12" s="10">
        <v>965</v>
      </c>
      <c r="N12" s="10">
        <v>129</v>
      </c>
      <c r="P12">
        <v>1995</v>
      </c>
      <c r="Q12" s="2">
        <v>3246000</v>
      </c>
      <c r="R12" s="2">
        <v>33064</v>
      </c>
      <c r="S12" s="2">
        <v>3279064</v>
      </c>
    </row>
    <row r="13" spans="1:19">
      <c r="A13" s="77" t="s">
        <v>84</v>
      </c>
      <c r="B13" s="38">
        <v>1981</v>
      </c>
      <c r="C13" s="35">
        <v>49301</v>
      </c>
      <c r="D13" s="35">
        <v>35518</v>
      </c>
      <c r="E13" s="36">
        <v>26645</v>
      </c>
      <c r="F13" s="36">
        <v>7081</v>
      </c>
      <c r="G13" s="36">
        <v>1133</v>
      </c>
      <c r="H13" s="10">
        <v>56</v>
      </c>
      <c r="I13" s="10">
        <v>603</v>
      </c>
      <c r="J13" s="37">
        <v>4906</v>
      </c>
      <c r="K13" s="35">
        <v>8877</v>
      </c>
      <c r="L13" s="36">
        <v>7837</v>
      </c>
      <c r="M13" s="10">
        <v>936</v>
      </c>
      <c r="N13" s="10">
        <v>104</v>
      </c>
      <c r="P13">
        <v>1996</v>
      </c>
      <c r="Q13" s="2">
        <v>3277000</v>
      </c>
      <c r="R13" s="2">
        <v>33534</v>
      </c>
      <c r="S13" s="2">
        <v>3310534</v>
      </c>
    </row>
    <row r="14" spans="1:19">
      <c r="A14" s="77" t="s">
        <v>84</v>
      </c>
      <c r="B14" s="38">
        <v>1982</v>
      </c>
      <c r="C14" s="35">
        <v>43945</v>
      </c>
      <c r="D14" s="35">
        <v>31193</v>
      </c>
      <c r="E14" s="36">
        <v>23330</v>
      </c>
      <c r="F14" s="36">
        <v>6359</v>
      </c>
      <c r="G14" s="10">
        <v>944</v>
      </c>
      <c r="H14" s="10">
        <v>35</v>
      </c>
      <c r="I14" s="10">
        <v>525</v>
      </c>
      <c r="J14" s="37">
        <v>4453</v>
      </c>
      <c r="K14" s="35">
        <v>8299</v>
      </c>
      <c r="L14" s="36">
        <v>7331</v>
      </c>
      <c r="M14" s="10">
        <v>883</v>
      </c>
      <c r="N14" s="10">
        <v>85</v>
      </c>
      <c r="P14">
        <v>1997</v>
      </c>
      <c r="Q14" s="2">
        <v>3149000</v>
      </c>
      <c r="R14" s="2">
        <v>33609</v>
      </c>
      <c r="S14" s="2">
        <v>3182609</v>
      </c>
    </row>
    <row r="15" spans="1:19">
      <c r="A15" s="77" t="s">
        <v>84</v>
      </c>
      <c r="B15" s="38">
        <v>1983</v>
      </c>
      <c r="C15" s="35">
        <v>42589</v>
      </c>
      <c r="D15" s="35">
        <v>30578</v>
      </c>
      <c r="E15" s="36">
        <v>22979</v>
      </c>
      <c r="F15" s="36">
        <v>6202</v>
      </c>
      <c r="G15" s="10">
        <v>982</v>
      </c>
      <c r="H15" s="10">
        <v>53</v>
      </c>
      <c r="I15" s="10">
        <v>362</v>
      </c>
      <c r="J15" s="37">
        <v>4265</v>
      </c>
      <c r="K15" s="35">
        <v>7746</v>
      </c>
      <c r="L15" s="36">
        <v>6826</v>
      </c>
      <c r="M15" s="10">
        <v>839</v>
      </c>
      <c r="N15" s="10">
        <v>81</v>
      </c>
      <c r="P15">
        <v>1998</v>
      </c>
      <c r="Q15" s="2">
        <v>3012000</v>
      </c>
      <c r="R15" s="2">
        <v>33088</v>
      </c>
      <c r="S15" s="2">
        <v>3045088</v>
      </c>
    </row>
    <row r="16" spans="1:19">
      <c r="A16" s="77" t="s">
        <v>84</v>
      </c>
      <c r="B16" s="38">
        <v>1984</v>
      </c>
      <c r="C16" s="35">
        <v>44257</v>
      </c>
      <c r="D16" s="35">
        <v>31676</v>
      </c>
      <c r="E16" s="36">
        <v>23620</v>
      </c>
      <c r="F16" s="36">
        <v>6496</v>
      </c>
      <c r="G16" s="36">
        <v>1074</v>
      </c>
      <c r="H16" s="10">
        <v>46</v>
      </c>
      <c r="I16" s="10">
        <v>440</v>
      </c>
      <c r="J16" s="37">
        <v>4608</v>
      </c>
      <c r="K16" s="35">
        <v>7973</v>
      </c>
      <c r="L16" s="36">
        <v>7025</v>
      </c>
      <c r="M16" s="10">
        <v>849</v>
      </c>
      <c r="N16" s="10">
        <v>99</v>
      </c>
      <c r="P16">
        <v>1999</v>
      </c>
      <c r="Q16" s="2">
        <v>3047000</v>
      </c>
      <c r="R16" s="2">
        <v>33392</v>
      </c>
      <c r="S16" s="2">
        <v>3080392</v>
      </c>
    </row>
    <row r="17" spans="1:19">
      <c r="A17" s="77" t="s">
        <v>84</v>
      </c>
      <c r="B17" s="38">
        <v>1985</v>
      </c>
      <c r="C17" s="39">
        <v>43825</v>
      </c>
      <c r="D17" s="39">
        <v>31479</v>
      </c>
      <c r="E17" s="40">
        <v>23212</v>
      </c>
      <c r="F17" s="40">
        <v>6689</v>
      </c>
      <c r="G17" s="40">
        <v>977</v>
      </c>
      <c r="H17" s="40">
        <v>57</v>
      </c>
      <c r="I17" s="40">
        <v>544</v>
      </c>
      <c r="J17" s="41">
        <v>4564</v>
      </c>
      <c r="K17" s="39">
        <v>7782</v>
      </c>
      <c r="L17" s="40">
        <v>6808</v>
      </c>
      <c r="M17" s="40">
        <v>890</v>
      </c>
      <c r="N17" s="42">
        <v>84</v>
      </c>
      <c r="P17">
        <v>2000</v>
      </c>
      <c r="Q17" s="2">
        <v>2997000</v>
      </c>
      <c r="R17" s="2">
        <v>33451</v>
      </c>
      <c r="S17" s="2">
        <v>3030451</v>
      </c>
    </row>
    <row r="18" spans="1:19">
      <c r="A18" s="77" t="s">
        <v>84</v>
      </c>
      <c r="B18" s="38">
        <v>1986</v>
      </c>
      <c r="C18" s="39">
        <v>46087</v>
      </c>
      <c r="D18" s="39">
        <v>33668</v>
      </c>
      <c r="E18" s="40">
        <v>24944</v>
      </c>
      <c r="F18" s="40">
        <v>7317</v>
      </c>
      <c r="G18" s="40">
        <v>926</v>
      </c>
      <c r="H18" s="40">
        <v>39</v>
      </c>
      <c r="I18" s="40">
        <v>442</v>
      </c>
      <c r="J18" s="41">
        <v>4566</v>
      </c>
      <c r="K18" s="39">
        <v>7853</v>
      </c>
      <c r="L18" s="40">
        <v>6779</v>
      </c>
      <c r="M18" s="40">
        <v>941</v>
      </c>
      <c r="N18" s="42">
        <v>133</v>
      </c>
      <c r="P18">
        <v>2001</v>
      </c>
      <c r="Q18" s="2">
        <v>2841000</v>
      </c>
      <c r="R18" s="2">
        <v>33243</v>
      </c>
      <c r="S18" s="2">
        <v>2874243</v>
      </c>
    </row>
    <row r="19" spans="1:19">
      <c r="A19" s="77" t="s">
        <v>84</v>
      </c>
      <c r="B19" s="38">
        <v>1987</v>
      </c>
      <c r="C19" s="39">
        <v>46390</v>
      </c>
      <c r="D19" s="39">
        <v>34529</v>
      </c>
      <c r="E19" s="40">
        <v>25132</v>
      </c>
      <c r="F19" s="40">
        <v>8058</v>
      </c>
      <c r="G19" s="40">
        <v>852</v>
      </c>
      <c r="H19" s="40">
        <v>51</v>
      </c>
      <c r="I19" s="40">
        <v>436</v>
      </c>
      <c r="J19" s="41">
        <v>4036</v>
      </c>
      <c r="K19" s="39">
        <v>7825</v>
      </c>
      <c r="L19" s="40">
        <v>6745</v>
      </c>
      <c r="M19" s="40">
        <v>948</v>
      </c>
      <c r="N19" s="42">
        <v>132</v>
      </c>
      <c r="P19">
        <v>2002</v>
      </c>
      <c r="Q19" s="2">
        <v>2735000</v>
      </c>
      <c r="R19" s="2">
        <v>34105</v>
      </c>
      <c r="S19" s="2">
        <v>2769105</v>
      </c>
    </row>
    <row r="20" spans="1:19">
      <c r="A20" s="77" t="s">
        <v>84</v>
      </c>
      <c r="B20" s="38">
        <v>1988</v>
      </c>
      <c r="C20" s="39">
        <v>47087</v>
      </c>
      <c r="D20" s="39">
        <v>35508</v>
      </c>
      <c r="E20" s="40">
        <v>25808</v>
      </c>
      <c r="F20" s="40">
        <v>8306</v>
      </c>
      <c r="G20" s="40">
        <v>911</v>
      </c>
      <c r="H20" s="40">
        <v>54</v>
      </c>
      <c r="I20" s="40">
        <v>429</v>
      </c>
      <c r="J20" s="41">
        <v>3662</v>
      </c>
      <c r="K20" s="39">
        <v>7917</v>
      </c>
      <c r="L20" s="40">
        <v>6870</v>
      </c>
      <c r="M20" s="40">
        <v>911</v>
      </c>
      <c r="N20" s="42">
        <v>136</v>
      </c>
      <c r="P20">
        <v>2003</v>
      </c>
      <c r="Q20" s="2">
        <v>2697324</v>
      </c>
      <c r="R20" s="2">
        <v>33627</v>
      </c>
      <c r="S20" s="2">
        <v>2730951</v>
      </c>
    </row>
    <row r="21" spans="1:19">
      <c r="A21" s="77" t="s">
        <v>84</v>
      </c>
      <c r="B21" s="38">
        <v>1989</v>
      </c>
      <c r="C21" s="39">
        <v>45582</v>
      </c>
      <c r="D21" s="39">
        <v>34946</v>
      </c>
      <c r="E21" s="40">
        <v>25063</v>
      </c>
      <c r="F21" s="40">
        <v>8551</v>
      </c>
      <c r="G21" s="40">
        <v>858</v>
      </c>
      <c r="H21" s="40">
        <v>50</v>
      </c>
      <c r="I21" s="40">
        <v>424</v>
      </c>
      <c r="J21" s="41">
        <v>3141</v>
      </c>
      <c r="K21" s="39">
        <v>7495</v>
      </c>
      <c r="L21" s="40">
        <v>6556</v>
      </c>
      <c r="M21" s="40">
        <v>832</v>
      </c>
      <c r="N21" s="42">
        <v>107</v>
      </c>
      <c r="P21">
        <v>2004</v>
      </c>
      <c r="Q21" s="2">
        <v>2593679</v>
      </c>
      <c r="R21" s="2">
        <v>33276</v>
      </c>
      <c r="S21" s="2">
        <v>2626955</v>
      </c>
    </row>
    <row r="22" spans="1:19">
      <c r="A22" s="77" t="s">
        <v>84</v>
      </c>
      <c r="B22" s="38">
        <v>1990</v>
      </c>
      <c r="C22" s="39">
        <v>44599</v>
      </c>
      <c r="D22" s="39">
        <v>33890</v>
      </c>
      <c r="E22" s="40">
        <v>24092</v>
      </c>
      <c r="F22" s="40">
        <v>8601</v>
      </c>
      <c r="G22" s="40">
        <v>705</v>
      </c>
      <c r="H22" s="40">
        <v>32</v>
      </c>
      <c r="I22" s="40">
        <v>460</v>
      </c>
      <c r="J22" s="41">
        <v>3244</v>
      </c>
      <c r="K22" s="39">
        <v>7465</v>
      </c>
      <c r="L22" s="40">
        <v>6482</v>
      </c>
      <c r="M22" s="40">
        <v>859</v>
      </c>
      <c r="N22" s="42">
        <v>124</v>
      </c>
      <c r="P22">
        <v>2005</v>
      </c>
      <c r="Q22" s="2">
        <v>2494000</v>
      </c>
      <c r="R22" s="2">
        <v>33070</v>
      </c>
      <c r="S22" s="2">
        <v>2527070</v>
      </c>
    </row>
    <row r="23" spans="1:19">
      <c r="A23" s="77" t="s">
        <v>84</v>
      </c>
      <c r="B23" s="38">
        <v>1991</v>
      </c>
      <c r="C23" s="39">
        <v>41508</v>
      </c>
      <c r="D23" s="39">
        <v>31934</v>
      </c>
      <c r="E23" s="40">
        <v>22385</v>
      </c>
      <c r="F23" s="40">
        <v>8391</v>
      </c>
      <c r="G23" s="40">
        <v>661</v>
      </c>
      <c r="H23" s="40">
        <v>31</v>
      </c>
      <c r="I23" s="40">
        <v>466</v>
      </c>
      <c r="J23" s="41">
        <v>2806</v>
      </c>
      <c r="K23" s="39">
        <v>6768</v>
      </c>
      <c r="L23" s="40">
        <v>5801</v>
      </c>
      <c r="M23" s="40">
        <v>843</v>
      </c>
      <c r="N23" s="42">
        <v>124</v>
      </c>
      <c r="P23">
        <v>2006</v>
      </c>
      <c r="Q23" s="2">
        <v>2375000</v>
      </c>
      <c r="R23" s="2">
        <v>32119</v>
      </c>
      <c r="S23" s="2">
        <v>2407119</v>
      </c>
    </row>
    <row r="24" spans="1:19">
      <c r="A24" s="77" t="s">
        <v>84</v>
      </c>
      <c r="B24" s="38">
        <v>1992</v>
      </c>
      <c r="C24" s="39">
        <v>39250</v>
      </c>
      <c r="D24" s="39">
        <v>30485</v>
      </c>
      <c r="E24" s="40">
        <v>21387</v>
      </c>
      <c r="F24" s="40">
        <v>8098</v>
      </c>
      <c r="G24" s="40">
        <v>585</v>
      </c>
      <c r="H24" s="40">
        <v>28</v>
      </c>
      <c r="I24" s="40">
        <v>387</v>
      </c>
      <c r="J24" s="41">
        <v>2395</v>
      </c>
      <c r="K24" s="39">
        <v>6370</v>
      </c>
      <c r="L24" s="40">
        <v>5549</v>
      </c>
      <c r="M24" s="40">
        <v>723</v>
      </c>
      <c r="N24" s="42">
        <v>98</v>
      </c>
      <c r="P24">
        <v>2007</v>
      </c>
      <c r="Q24" s="2">
        <v>2264000</v>
      </c>
      <c r="R24" s="2">
        <v>30527</v>
      </c>
      <c r="S24" s="2">
        <v>2294527</v>
      </c>
    </row>
    <row r="25" spans="1:19">
      <c r="A25" s="77" t="s">
        <v>84</v>
      </c>
      <c r="B25" s="38">
        <v>1993</v>
      </c>
      <c r="C25" s="39">
        <v>40150</v>
      </c>
      <c r="D25" s="39">
        <v>31125</v>
      </c>
      <c r="E25" s="40">
        <v>21566</v>
      </c>
      <c r="F25" s="40">
        <v>8511</v>
      </c>
      <c r="G25" s="42">
        <v>605</v>
      </c>
      <c r="H25" s="42">
        <v>18</v>
      </c>
      <c r="I25" s="42">
        <v>425</v>
      </c>
      <c r="J25" s="41">
        <v>2449</v>
      </c>
      <c r="K25" s="39">
        <v>6576</v>
      </c>
      <c r="L25" s="40">
        <v>5649</v>
      </c>
      <c r="M25" s="42">
        <v>816</v>
      </c>
      <c r="N25" s="42">
        <v>111</v>
      </c>
      <c r="P25">
        <v>2008</v>
      </c>
      <c r="Q25" s="2">
        <v>2119788</v>
      </c>
      <c r="R25" s="2">
        <v>26791</v>
      </c>
      <c r="S25" s="2">
        <v>2146579</v>
      </c>
    </row>
    <row r="26" spans="1:19">
      <c r="A26" s="77" t="s">
        <v>84</v>
      </c>
      <c r="B26" s="38">
        <v>1994</v>
      </c>
      <c r="C26" s="39">
        <v>40716</v>
      </c>
      <c r="D26" s="39">
        <v>31998</v>
      </c>
      <c r="E26" s="40">
        <v>21997</v>
      </c>
      <c r="F26" s="40">
        <v>8904</v>
      </c>
      <c r="G26" s="42">
        <v>670</v>
      </c>
      <c r="H26" s="42">
        <v>18</v>
      </c>
      <c r="I26" s="42">
        <v>409</v>
      </c>
      <c r="J26" s="41">
        <v>2320</v>
      </c>
      <c r="K26" s="39">
        <v>6398</v>
      </c>
      <c r="L26" s="40">
        <v>5489</v>
      </c>
      <c r="M26" s="42">
        <v>802</v>
      </c>
      <c r="N26" s="42">
        <v>107</v>
      </c>
      <c r="P26">
        <v>2009</v>
      </c>
      <c r="Q26" s="2">
        <v>2011362</v>
      </c>
      <c r="R26" s="2">
        <v>24474</v>
      </c>
      <c r="S26" s="2">
        <v>2035836</v>
      </c>
    </row>
    <row r="27" spans="1:19">
      <c r="A27" s="77" t="s">
        <v>84</v>
      </c>
      <c r="B27" s="38">
        <v>1995</v>
      </c>
      <c r="C27" s="39">
        <v>41817</v>
      </c>
      <c r="D27" s="39">
        <v>33064</v>
      </c>
      <c r="E27" s="40">
        <v>22423</v>
      </c>
      <c r="F27" s="40">
        <v>9568</v>
      </c>
      <c r="G27" s="42">
        <v>648</v>
      </c>
      <c r="H27" s="42">
        <v>33</v>
      </c>
      <c r="I27" s="42">
        <v>392</v>
      </c>
      <c r="J27" s="41">
        <v>2227</v>
      </c>
      <c r="K27" s="39">
        <v>6526</v>
      </c>
      <c r="L27" s="40">
        <v>5584</v>
      </c>
      <c r="M27" s="42">
        <v>833</v>
      </c>
      <c r="N27" s="42">
        <v>109</v>
      </c>
      <c r="P27" t="s">
        <v>0</v>
      </c>
      <c r="Q27" s="2">
        <v>43904153</v>
      </c>
      <c r="R27" s="2">
        <v>513368</v>
      </c>
      <c r="S27" s="2">
        <v>44417521</v>
      </c>
    </row>
    <row r="28" spans="1:19">
      <c r="A28" s="77" t="s">
        <v>84</v>
      </c>
      <c r="B28" s="38">
        <v>1996</v>
      </c>
      <c r="C28" s="39">
        <v>42065</v>
      </c>
      <c r="D28" s="39">
        <v>33534</v>
      </c>
      <c r="E28" s="40">
        <v>22505</v>
      </c>
      <c r="F28" s="40">
        <v>9932</v>
      </c>
      <c r="G28" s="42">
        <v>621</v>
      </c>
      <c r="H28" s="42">
        <v>21</v>
      </c>
      <c r="I28" s="42">
        <v>455</v>
      </c>
      <c r="J28" s="41">
        <v>2161</v>
      </c>
      <c r="K28" s="39">
        <v>6368</v>
      </c>
      <c r="L28" s="40">
        <v>5449</v>
      </c>
      <c r="M28" s="42">
        <v>765</v>
      </c>
      <c r="N28" s="42">
        <v>154</v>
      </c>
      <c r="P28"/>
      <c r="Q28"/>
      <c r="R28"/>
      <c r="S28"/>
    </row>
    <row r="29" spans="1:19">
      <c r="A29" s="77" t="s">
        <v>84</v>
      </c>
      <c r="B29" s="38">
        <v>1997</v>
      </c>
      <c r="C29" s="39">
        <v>42013</v>
      </c>
      <c r="D29" s="39">
        <v>33609</v>
      </c>
      <c r="E29" s="40">
        <v>22199</v>
      </c>
      <c r="F29" s="40">
        <v>10249</v>
      </c>
      <c r="G29" s="42">
        <v>723</v>
      </c>
      <c r="H29" s="42">
        <v>18</v>
      </c>
      <c r="I29" s="42">
        <v>420</v>
      </c>
      <c r="J29" s="41">
        <v>2116</v>
      </c>
      <c r="K29" s="39">
        <v>6288</v>
      </c>
      <c r="L29" s="40">
        <v>5321</v>
      </c>
      <c r="M29" s="42">
        <v>814</v>
      </c>
      <c r="N29" s="42">
        <v>153</v>
      </c>
      <c r="P29"/>
      <c r="Q29"/>
      <c r="R29"/>
      <c r="S29"/>
    </row>
    <row r="30" spans="1:19">
      <c r="A30" s="77" t="s">
        <v>84</v>
      </c>
      <c r="B30" s="38">
        <v>1998</v>
      </c>
      <c r="C30" s="39">
        <v>41501</v>
      </c>
      <c r="D30" s="39">
        <v>33088</v>
      </c>
      <c r="E30" s="40">
        <v>21194</v>
      </c>
      <c r="F30" s="40">
        <v>10705</v>
      </c>
      <c r="G30" s="42">
        <v>742</v>
      </c>
      <c r="H30" s="42">
        <v>38</v>
      </c>
      <c r="I30" s="42">
        <v>409</v>
      </c>
      <c r="J30" s="41">
        <v>2294</v>
      </c>
      <c r="K30" s="39">
        <v>6119</v>
      </c>
      <c r="L30" s="40">
        <v>5228</v>
      </c>
      <c r="M30" s="42">
        <v>760</v>
      </c>
      <c r="N30" s="42">
        <v>131</v>
      </c>
      <c r="P30"/>
      <c r="Q30"/>
      <c r="R30"/>
      <c r="S30"/>
    </row>
    <row r="31" spans="1:19">
      <c r="A31" s="77" t="s">
        <v>84</v>
      </c>
      <c r="B31" s="38">
        <v>1999</v>
      </c>
      <c r="C31" s="39">
        <v>41717</v>
      </c>
      <c r="D31" s="39">
        <v>33392</v>
      </c>
      <c r="E31" s="40">
        <v>20862</v>
      </c>
      <c r="F31" s="40">
        <v>11265</v>
      </c>
      <c r="G31" s="40">
        <v>759</v>
      </c>
      <c r="H31" s="40">
        <v>59</v>
      </c>
      <c r="I31" s="40">
        <v>447</v>
      </c>
      <c r="J31" s="41">
        <v>2483</v>
      </c>
      <c r="K31" s="39">
        <v>5842</v>
      </c>
      <c r="L31" s="40">
        <v>4939</v>
      </c>
      <c r="M31" s="40">
        <v>754</v>
      </c>
      <c r="N31" s="40">
        <v>149</v>
      </c>
      <c r="P31"/>
      <c r="Q31"/>
      <c r="R31"/>
      <c r="S31"/>
    </row>
    <row r="32" spans="1:19">
      <c r="A32" s="77" t="s">
        <v>84</v>
      </c>
      <c r="B32" s="38">
        <v>2000</v>
      </c>
      <c r="C32" s="39">
        <v>41945</v>
      </c>
      <c r="D32" s="39">
        <v>33451</v>
      </c>
      <c r="E32" s="40">
        <v>20699</v>
      </c>
      <c r="F32" s="40">
        <v>11526</v>
      </c>
      <c r="G32" s="42">
        <v>754</v>
      </c>
      <c r="H32" s="42">
        <v>22</v>
      </c>
      <c r="I32" s="42">
        <v>450</v>
      </c>
      <c r="J32" s="41">
        <v>2897</v>
      </c>
      <c r="K32" s="39">
        <v>5597</v>
      </c>
      <c r="L32" s="40">
        <v>4763</v>
      </c>
      <c r="M32" s="42">
        <v>693</v>
      </c>
      <c r="N32" s="42">
        <v>141</v>
      </c>
      <c r="P32"/>
      <c r="Q32"/>
      <c r="R32"/>
      <c r="S32"/>
    </row>
    <row r="33" spans="1:19">
      <c r="A33" s="77" t="s">
        <v>84</v>
      </c>
      <c r="B33" s="38">
        <v>2001</v>
      </c>
      <c r="C33" s="45">
        <v>42196</v>
      </c>
      <c r="D33" s="39">
        <v>33243</v>
      </c>
      <c r="E33" s="46">
        <v>20320</v>
      </c>
      <c r="F33" s="46">
        <v>11723</v>
      </c>
      <c r="G33" s="47">
        <v>708</v>
      </c>
      <c r="H33" s="47">
        <v>34</v>
      </c>
      <c r="I33" s="47">
        <v>458</v>
      </c>
      <c r="J33" s="48">
        <v>3197</v>
      </c>
      <c r="K33" s="45">
        <v>5756</v>
      </c>
      <c r="L33" s="46">
        <v>4901</v>
      </c>
      <c r="M33" s="47">
        <v>732</v>
      </c>
      <c r="N33" s="47">
        <v>123</v>
      </c>
      <c r="P33"/>
      <c r="Q33"/>
      <c r="R33"/>
      <c r="S33"/>
    </row>
    <row r="34" spans="1:19">
      <c r="A34" s="77" t="s">
        <v>84</v>
      </c>
      <c r="B34" s="38">
        <v>2002</v>
      </c>
      <c r="C34" s="45">
        <v>43005</v>
      </c>
      <c r="D34" s="39">
        <v>34105</v>
      </c>
      <c r="E34" s="46">
        <v>20569</v>
      </c>
      <c r="F34" s="46">
        <v>12274</v>
      </c>
      <c r="G34" s="47">
        <v>689</v>
      </c>
      <c r="H34" s="47">
        <v>45</v>
      </c>
      <c r="I34" s="47">
        <v>528</v>
      </c>
      <c r="J34" s="48">
        <v>3270</v>
      </c>
      <c r="K34" s="45">
        <v>5630</v>
      </c>
      <c r="L34" s="46">
        <v>4851</v>
      </c>
      <c r="M34" s="47">
        <v>665</v>
      </c>
      <c r="N34" s="47">
        <v>114</v>
      </c>
      <c r="P34"/>
      <c r="Q34"/>
      <c r="R34"/>
      <c r="S34"/>
    </row>
    <row r="35" spans="1:19">
      <c r="A35" s="77" t="s">
        <v>84</v>
      </c>
      <c r="B35" s="38">
        <v>2003</v>
      </c>
      <c r="C35" s="45">
        <v>42884</v>
      </c>
      <c r="D35" s="39">
        <v>33627</v>
      </c>
      <c r="E35" s="46">
        <v>19725</v>
      </c>
      <c r="F35" s="46">
        <v>12546</v>
      </c>
      <c r="G35" s="47">
        <v>726</v>
      </c>
      <c r="H35" s="47">
        <v>41</v>
      </c>
      <c r="I35" s="47">
        <v>589</v>
      </c>
      <c r="J35" s="48">
        <v>3714</v>
      </c>
      <c r="K35" s="45">
        <v>5543</v>
      </c>
      <c r="L35" s="46">
        <v>4774</v>
      </c>
      <c r="M35" s="47">
        <v>629</v>
      </c>
      <c r="N35" s="47">
        <v>140</v>
      </c>
      <c r="P35"/>
      <c r="Q35"/>
      <c r="R35"/>
      <c r="S35"/>
    </row>
    <row r="36" spans="1:19">
      <c r="A36" s="77" t="s">
        <v>84</v>
      </c>
      <c r="B36" s="38">
        <v>2004</v>
      </c>
      <c r="C36" s="45">
        <v>42836</v>
      </c>
      <c r="D36" s="39">
        <v>33276</v>
      </c>
      <c r="E36" s="46">
        <v>19192</v>
      </c>
      <c r="F36" s="46">
        <v>12674</v>
      </c>
      <c r="G36" s="47">
        <v>766</v>
      </c>
      <c r="H36" s="47">
        <v>42</v>
      </c>
      <c r="I36" s="47">
        <v>602</v>
      </c>
      <c r="J36" s="48">
        <v>4028</v>
      </c>
      <c r="K36" s="45">
        <v>5532</v>
      </c>
      <c r="L36" s="46">
        <v>4675</v>
      </c>
      <c r="M36" s="47">
        <v>727</v>
      </c>
      <c r="N36" s="47">
        <v>130</v>
      </c>
      <c r="P36"/>
      <c r="Q36"/>
      <c r="R36"/>
      <c r="S36"/>
    </row>
    <row r="37" spans="1:19">
      <c r="A37" s="77" t="s">
        <v>84</v>
      </c>
      <c r="B37" s="38">
        <v>2005</v>
      </c>
      <c r="C37" s="45">
        <v>43510</v>
      </c>
      <c r="D37" s="39">
        <v>33070</v>
      </c>
      <c r="E37" s="46">
        <v>18512</v>
      </c>
      <c r="F37" s="46">
        <v>13037</v>
      </c>
      <c r="G37" s="47">
        <v>804</v>
      </c>
      <c r="H37" s="47">
        <v>58</v>
      </c>
      <c r="I37" s="47">
        <v>659</v>
      </c>
      <c r="J37" s="48">
        <v>4576</v>
      </c>
      <c r="K37" s="45">
        <v>5864</v>
      </c>
      <c r="L37" s="46">
        <v>4892</v>
      </c>
      <c r="M37" s="47">
        <v>786</v>
      </c>
      <c r="N37" s="47">
        <v>186</v>
      </c>
      <c r="P37"/>
      <c r="Q37"/>
      <c r="R37"/>
      <c r="S37"/>
    </row>
    <row r="38" spans="1:19">
      <c r="A38" s="77" t="s">
        <v>84</v>
      </c>
      <c r="B38" s="38">
        <v>2006</v>
      </c>
      <c r="C38" s="39">
        <v>42708</v>
      </c>
      <c r="D38" s="39">
        <v>32119</v>
      </c>
      <c r="E38" s="40">
        <v>17925</v>
      </c>
      <c r="F38" s="40">
        <v>12761</v>
      </c>
      <c r="G38" s="40">
        <v>805</v>
      </c>
      <c r="H38" s="40">
        <v>27</v>
      </c>
      <c r="I38" s="40">
        <v>601</v>
      </c>
      <c r="J38" s="41">
        <v>4837</v>
      </c>
      <c r="K38" s="39">
        <v>5752</v>
      </c>
      <c r="L38" s="40">
        <v>4795</v>
      </c>
      <c r="M38" s="40">
        <v>772</v>
      </c>
      <c r="N38" s="49">
        <v>185</v>
      </c>
      <c r="P38"/>
      <c r="Q38"/>
      <c r="R38"/>
      <c r="S38"/>
    </row>
    <row r="39" spans="1:19">
      <c r="A39" s="77" t="s">
        <v>84</v>
      </c>
      <c r="B39" s="38">
        <v>2007</v>
      </c>
      <c r="C39" s="39">
        <v>41259</v>
      </c>
      <c r="D39" s="39">
        <v>30527</v>
      </c>
      <c r="E39" s="40">
        <v>16614</v>
      </c>
      <c r="F39" s="40">
        <v>12458</v>
      </c>
      <c r="G39" s="40">
        <v>805</v>
      </c>
      <c r="H39" s="40">
        <v>36</v>
      </c>
      <c r="I39" s="40">
        <v>614</v>
      </c>
      <c r="J39" s="41">
        <v>5174</v>
      </c>
      <c r="K39" s="39">
        <v>5558</v>
      </c>
      <c r="L39" s="40">
        <v>4699</v>
      </c>
      <c r="M39" s="40">
        <v>701</v>
      </c>
      <c r="N39" s="49">
        <v>158</v>
      </c>
      <c r="P39"/>
      <c r="Q39"/>
      <c r="R39"/>
      <c r="S39"/>
    </row>
    <row r="40" spans="1:19">
      <c r="A40" s="77" t="s">
        <v>84</v>
      </c>
      <c r="B40" s="38">
        <v>2008</v>
      </c>
      <c r="C40" s="39">
        <v>37423</v>
      </c>
      <c r="D40" s="39">
        <v>26791</v>
      </c>
      <c r="E40" s="40">
        <v>14646</v>
      </c>
      <c r="F40" s="40">
        <v>10816</v>
      </c>
      <c r="G40" s="40">
        <v>682</v>
      </c>
      <c r="H40" s="40">
        <v>67</v>
      </c>
      <c r="I40" s="40">
        <v>580</v>
      </c>
      <c r="J40" s="41">
        <v>5312</v>
      </c>
      <c r="K40" s="39">
        <v>5320</v>
      </c>
      <c r="L40" s="40">
        <v>4414</v>
      </c>
      <c r="M40" s="40">
        <v>718</v>
      </c>
      <c r="N40" s="49">
        <v>188</v>
      </c>
      <c r="P40"/>
      <c r="Q40"/>
      <c r="R40"/>
      <c r="S40"/>
    </row>
    <row r="41" spans="1:19">
      <c r="A41" s="77" t="s">
        <v>84</v>
      </c>
      <c r="B41" s="38">
        <v>2009</v>
      </c>
      <c r="C41" s="39">
        <v>33808</v>
      </c>
      <c r="D41" s="39">
        <v>24474</v>
      </c>
      <c r="E41" s="40">
        <v>13095</v>
      </c>
      <c r="F41" s="40">
        <v>10287</v>
      </c>
      <c r="G41" s="40">
        <v>503</v>
      </c>
      <c r="H41" s="40">
        <v>26</v>
      </c>
      <c r="I41" s="40">
        <v>563</v>
      </c>
      <c r="J41" s="41">
        <v>4462</v>
      </c>
      <c r="K41" s="39">
        <v>4872</v>
      </c>
      <c r="L41" s="40">
        <v>4092</v>
      </c>
      <c r="M41" s="40">
        <v>630</v>
      </c>
      <c r="N41" s="49">
        <v>150</v>
      </c>
      <c r="P41"/>
      <c r="Q41"/>
      <c r="R41"/>
      <c r="S41"/>
    </row>
    <row r="42" spans="1:19">
      <c r="A42" s="77" t="s">
        <v>85</v>
      </c>
      <c r="B42" s="38">
        <v>1988</v>
      </c>
      <c r="C42" s="39">
        <f>Injuries!B43*1000</f>
        <v>3416000</v>
      </c>
      <c r="D42" s="39">
        <f>Injuries!C43*1000</f>
        <v>3119000</v>
      </c>
      <c r="E42" s="40">
        <f>Injuries!D43*1000</f>
        <v>2585000</v>
      </c>
      <c r="F42" s="40">
        <f>Injuries!E43*1000</f>
        <v>478000</v>
      </c>
      <c r="G42" s="40">
        <f>Injuries!F43*1000</f>
        <v>37000</v>
      </c>
      <c r="H42" s="40">
        <f>Injuries!G43*1000</f>
        <v>15000</v>
      </c>
      <c r="I42" s="40">
        <f>Injuries!H43*1000</f>
        <v>4000</v>
      </c>
      <c r="J42" s="41">
        <f>Injuries!I43*1000</f>
        <v>105000</v>
      </c>
      <c r="K42" s="39">
        <f>Injuries!J43*1000</f>
        <v>192000</v>
      </c>
      <c r="L42" s="40">
        <f>Injuries!K43*1000</f>
        <v>110000</v>
      </c>
      <c r="M42" s="40">
        <f>Injuries!L43*1000</f>
        <v>75000</v>
      </c>
      <c r="N42" s="40">
        <f>Injuries!M43*1000</f>
        <v>8000</v>
      </c>
      <c r="P42"/>
      <c r="Q42"/>
      <c r="R42"/>
      <c r="S42"/>
    </row>
    <row r="43" spans="1:19">
      <c r="A43" s="77" t="s">
        <v>85</v>
      </c>
      <c r="B43" s="38">
        <v>1989</v>
      </c>
      <c r="C43" s="39">
        <f>Injuries!B44*1000</f>
        <v>3284000</v>
      </c>
      <c r="D43" s="39">
        <f>Injuries!C44*1000</f>
        <v>3005000</v>
      </c>
      <c r="E43" s="40">
        <f>Injuries!D44*1000</f>
        <v>2431000</v>
      </c>
      <c r="F43" s="40">
        <f>Injuries!E44*1000</f>
        <v>511000</v>
      </c>
      <c r="G43" s="40">
        <f>Injuries!F44*1000</f>
        <v>43000</v>
      </c>
      <c r="H43" s="40">
        <f>Injuries!G44*1000</f>
        <v>15000</v>
      </c>
      <c r="I43" s="40">
        <f>Injuries!H44*1000</f>
        <v>5000</v>
      </c>
      <c r="J43" s="41">
        <f>Injuries!I44*1000</f>
        <v>83000</v>
      </c>
      <c r="K43" s="39">
        <f>Injuries!J44*1000</f>
        <v>196000</v>
      </c>
      <c r="L43" s="40">
        <f>Injuries!K44*1000</f>
        <v>112000</v>
      </c>
      <c r="M43" s="40">
        <f>Injuries!L44*1000</f>
        <v>73000</v>
      </c>
      <c r="N43" s="40">
        <f>Injuries!M44*1000</f>
        <v>11000</v>
      </c>
      <c r="P43"/>
      <c r="Q43"/>
      <c r="R43"/>
      <c r="S43"/>
    </row>
    <row r="44" spans="1:19">
      <c r="A44" s="77" t="s">
        <v>85</v>
      </c>
      <c r="B44" s="38">
        <v>1990</v>
      </c>
      <c r="C44" s="39">
        <f>Injuries!B45*1000</f>
        <v>3231000</v>
      </c>
      <c r="D44" s="39">
        <f>Injuries!C45*1000</f>
        <v>2960000</v>
      </c>
      <c r="E44" s="40">
        <f>Injuries!D45*1000</f>
        <v>2376000</v>
      </c>
      <c r="F44" s="40">
        <f>Injuries!E45*1000</f>
        <v>505000</v>
      </c>
      <c r="G44" s="40">
        <f>Injuries!F45*1000</f>
        <v>42000</v>
      </c>
      <c r="H44" s="40">
        <f>Injuries!G45*1000</f>
        <v>33000</v>
      </c>
      <c r="I44" s="40">
        <f>Injuries!H45*1000</f>
        <v>4000</v>
      </c>
      <c r="J44" s="41">
        <f>Injuries!I45*1000</f>
        <v>84000</v>
      </c>
      <c r="K44" s="39">
        <f>Injuries!J45*1000</f>
        <v>187000</v>
      </c>
      <c r="L44" s="40">
        <f>Injuries!K45*1000</f>
        <v>105000</v>
      </c>
      <c r="M44" s="40">
        <f>Injuries!L45*1000</f>
        <v>75000</v>
      </c>
      <c r="N44" s="40">
        <f>Injuries!M45*1000</f>
        <v>7000</v>
      </c>
      <c r="P44"/>
      <c r="Q44"/>
      <c r="R44"/>
      <c r="S44"/>
    </row>
    <row r="45" spans="1:19">
      <c r="A45" s="77" t="s">
        <v>85</v>
      </c>
      <c r="B45" s="38">
        <v>1991</v>
      </c>
      <c r="C45" s="39">
        <f>Injuries!B46*1000</f>
        <v>3097000</v>
      </c>
      <c r="D45" s="39">
        <f>Injuries!C46*1000</f>
        <v>2851000</v>
      </c>
      <c r="E45" s="40">
        <f>Injuries!D46*1000</f>
        <v>2235000</v>
      </c>
      <c r="F45" s="40">
        <f>Injuries!E46*1000</f>
        <v>563000</v>
      </c>
      <c r="G45" s="40">
        <f>Injuries!F46*1000</f>
        <v>28000</v>
      </c>
      <c r="H45" s="40">
        <f>Injuries!G46*1000</f>
        <v>21000</v>
      </c>
      <c r="I45" s="40">
        <f>Injuries!H46*1000</f>
        <v>4000</v>
      </c>
      <c r="J45" s="41">
        <f>Injuries!I46*1000</f>
        <v>80000</v>
      </c>
      <c r="K45" s="39">
        <f>Injuries!J46*1000</f>
        <v>166000</v>
      </c>
      <c r="L45" s="40">
        <f>Injuries!K46*1000</f>
        <v>88000</v>
      </c>
      <c r="M45" s="40">
        <f>Injuries!L46*1000</f>
        <v>67000</v>
      </c>
      <c r="N45" s="40">
        <f>Injuries!M46*1000</f>
        <v>11000</v>
      </c>
      <c r="P45"/>
      <c r="Q45"/>
      <c r="R45"/>
      <c r="S45"/>
    </row>
    <row r="46" spans="1:19">
      <c r="A46" s="77" t="s">
        <v>85</v>
      </c>
      <c r="B46" s="38">
        <v>1992</v>
      </c>
      <c r="C46" s="39">
        <f>Injuries!B47*1000</f>
        <v>3070000</v>
      </c>
      <c r="D46" s="39">
        <f>Injuries!C47*1000</f>
        <v>2843000</v>
      </c>
      <c r="E46" s="40">
        <f>Injuries!D47*1000</f>
        <v>2232000</v>
      </c>
      <c r="F46" s="40">
        <f>Injuries!E47*1000</f>
        <v>545000</v>
      </c>
      <c r="G46" s="40">
        <f>Injuries!F47*1000</f>
        <v>34000</v>
      </c>
      <c r="H46" s="40">
        <f>Injuries!G47*1000</f>
        <v>20000</v>
      </c>
      <c r="I46" s="40">
        <f>Injuries!H47*1000</f>
        <v>12000</v>
      </c>
      <c r="J46" s="41">
        <f>Injuries!I47*1000</f>
        <v>65000</v>
      </c>
      <c r="K46" s="39">
        <f>Injuries!J47*1000</f>
        <v>162000</v>
      </c>
      <c r="L46" s="40">
        <f>Injuries!K47*1000</f>
        <v>89000</v>
      </c>
      <c r="M46" s="40">
        <f>Injuries!L47*1000</f>
        <v>63000</v>
      </c>
      <c r="N46" s="40">
        <f>Injuries!M47*1000</f>
        <v>10000</v>
      </c>
      <c r="P46"/>
      <c r="Q46"/>
      <c r="R46"/>
      <c r="S46"/>
    </row>
    <row r="47" spans="1:19">
      <c r="A47" s="77" t="s">
        <v>85</v>
      </c>
      <c r="B47" s="38">
        <v>1993</v>
      </c>
      <c r="C47" s="39">
        <f>Injuries!B48*1000</f>
        <v>3149000</v>
      </c>
      <c r="D47" s="39">
        <f>Injuries!C48*1000</f>
        <v>2919000</v>
      </c>
      <c r="E47" s="40">
        <f>Injuries!D48*1000</f>
        <v>2265000</v>
      </c>
      <c r="F47" s="42">
        <f>Injuries!E48*1000</f>
        <v>601000</v>
      </c>
      <c r="G47" s="42">
        <f>Injuries!F48*1000</f>
        <v>32000</v>
      </c>
      <c r="H47" s="42">
        <f>Injuries!G48*1000</f>
        <v>17000</v>
      </c>
      <c r="I47" s="42">
        <f>Injuries!H48*1000</f>
        <v>4000</v>
      </c>
      <c r="J47" s="50">
        <f>Injuries!I48*1000</f>
        <v>59000</v>
      </c>
      <c r="K47" s="51">
        <f>Injuries!J48*1000</f>
        <v>171000</v>
      </c>
      <c r="L47" s="42">
        <f>Injuries!K48*1000</f>
        <v>94000</v>
      </c>
      <c r="M47" s="42">
        <f>Injuries!L48*1000</f>
        <v>68000</v>
      </c>
      <c r="N47" s="42">
        <f>Injuries!M48*1000</f>
        <v>9000</v>
      </c>
    </row>
    <row r="48" spans="1:19">
      <c r="A48" s="77" t="s">
        <v>85</v>
      </c>
      <c r="B48" s="38">
        <v>1994</v>
      </c>
      <c r="C48" s="39">
        <f>Injuries!B49*1000</f>
        <v>3266000</v>
      </c>
      <c r="D48" s="39">
        <f>Injuries!C49*1000</f>
        <v>3045000</v>
      </c>
      <c r="E48" s="40">
        <f>Injuries!D49*1000</f>
        <v>2364000</v>
      </c>
      <c r="F48" s="42">
        <f>Injuries!E49*1000</f>
        <v>631000</v>
      </c>
      <c r="G48" s="42">
        <f>Injuries!F49*1000</f>
        <v>30000</v>
      </c>
      <c r="H48" s="42">
        <f>Injuries!G49*1000</f>
        <v>16000</v>
      </c>
      <c r="I48" s="42">
        <f>Injuries!H49*1000</f>
        <v>4000</v>
      </c>
      <c r="J48" s="50">
        <f>Injuries!I49*1000</f>
        <v>57000</v>
      </c>
      <c r="K48" s="51">
        <f>Injuries!J49*1000</f>
        <v>164000</v>
      </c>
      <c r="L48" s="42">
        <f>Injuries!K49*1000</f>
        <v>92000</v>
      </c>
      <c r="M48" s="42">
        <f>Injuries!L49*1000</f>
        <v>62000</v>
      </c>
      <c r="N48" s="42">
        <f>Injuries!M49*1000</f>
        <v>9000</v>
      </c>
    </row>
    <row r="49" spans="1:14">
      <c r="A49" s="77" t="s">
        <v>85</v>
      </c>
      <c r="B49" s="38">
        <v>1995</v>
      </c>
      <c r="C49" s="39">
        <f>Injuries!B50*1000</f>
        <v>3465000</v>
      </c>
      <c r="D49" s="39">
        <f>Injuries!C50*1000</f>
        <v>3246000</v>
      </c>
      <c r="E49" s="40">
        <f>Injuries!D50*1000</f>
        <v>2469000</v>
      </c>
      <c r="F49" s="42">
        <f>Injuries!E50*1000</f>
        <v>722000</v>
      </c>
      <c r="G49" s="42">
        <f>Injuries!F50*1000</f>
        <v>30000</v>
      </c>
      <c r="H49" s="42">
        <f>Injuries!G50*1000</f>
        <v>19000</v>
      </c>
      <c r="I49" s="42">
        <f>Injuries!H50*1000</f>
        <v>4000</v>
      </c>
      <c r="J49" s="50">
        <f>Injuries!I50*1000</f>
        <v>57000</v>
      </c>
      <c r="K49" s="51">
        <f>Injuries!J50*1000</f>
        <v>162000</v>
      </c>
      <c r="L49" s="42">
        <f>Injuries!K50*1000</f>
        <v>86000</v>
      </c>
      <c r="M49" s="42">
        <f>Injuries!L50*1000</f>
        <v>67000</v>
      </c>
      <c r="N49" s="42">
        <f>Injuries!M50*1000</f>
        <v>10000</v>
      </c>
    </row>
    <row r="50" spans="1:14">
      <c r="A50" s="77" t="s">
        <v>85</v>
      </c>
      <c r="B50" s="38">
        <v>1996</v>
      </c>
      <c r="C50" s="39">
        <f>Injuries!B51*1000</f>
        <v>3483000</v>
      </c>
      <c r="D50" s="39">
        <f>Injuries!C51*1000</f>
        <v>3277000</v>
      </c>
      <c r="E50" s="40">
        <f>Injuries!D51*1000</f>
        <v>2458000</v>
      </c>
      <c r="F50" s="42">
        <f>Injuries!E51*1000</f>
        <v>761000</v>
      </c>
      <c r="G50" s="42">
        <f>Injuries!F51*1000</f>
        <v>33000</v>
      </c>
      <c r="H50" s="42">
        <f>Injuries!G51*1000</f>
        <v>20000</v>
      </c>
      <c r="I50" s="42">
        <f>Injuries!H51*1000</f>
        <v>4000</v>
      </c>
      <c r="J50" s="50">
        <f>Injuries!I51*1000</f>
        <v>55000</v>
      </c>
      <c r="K50" s="51">
        <f>Injuries!J51*1000</f>
        <v>151000</v>
      </c>
      <c r="L50" s="42">
        <f>Injuries!K51*1000</f>
        <v>82000</v>
      </c>
      <c r="M50" s="42">
        <f>Injuries!L51*1000</f>
        <v>58000</v>
      </c>
      <c r="N50" s="42">
        <f>Injuries!M51*1000</f>
        <v>11000</v>
      </c>
    </row>
    <row r="51" spans="1:14">
      <c r="A51" s="77" t="s">
        <v>85</v>
      </c>
      <c r="B51" s="38">
        <v>1997</v>
      </c>
      <c r="C51" s="39">
        <f>Injuries!B52*1000</f>
        <v>3348000</v>
      </c>
      <c r="D51" s="39">
        <f>Injuries!C52*1000</f>
        <v>3149000</v>
      </c>
      <c r="E51" s="40">
        <f>Injuries!D52*1000</f>
        <v>2341000</v>
      </c>
      <c r="F51" s="42">
        <f>Injuries!E52*1000</f>
        <v>755000</v>
      </c>
      <c r="G51" s="42">
        <f>Injuries!F52*1000</f>
        <v>31000</v>
      </c>
      <c r="H51" s="42">
        <f>Injuries!G52*1000</f>
        <v>17000</v>
      </c>
      <c r="I51" s="42">
        <f>Injuries!H52*1000</f>
        <v>6000</v>
      </c>
      <c r="J51" s="50">
        <f>Injuries!I52*1000</f>
        <v>53000</v>
      </c>
      <c r="K51" s="51">
        <f>Injuries!J52*1000</f>
        <v>146000</v>
      </c>
      <c r="L51" s="42">
        <f>Injuries!K52*1000</f>
        <v>77000</v>
      </c>
      <c r="M51" s="42">
        <f>Injuries!L52*1000</f>
        <v>58000</v>
      </c>
      <c r="N51" s="42">
        <f>Injuries!M52*1000</f>
        <v>11000</v>
      </c>
    </row>
    <row r="52" spans="1:14">
      <c r="A52" s="77" t="s">
        <v>85</v>
      </c>
      <c r="B52" s="38">
        <v>1998</v>
      </c>
      <c r="C52" s="39">
        <f>Injuries!B53*1000</f>
        <v>3192000</v>
      </c>
      <c r="D52" s="39">
        <f>Injuries!C53*1000</f>
        <v>3012000</v>
      </c>
      <c r="E52" s="40">
        <f>Injuries!D53*1000</f>
        <v>2201000</v>
      </c>
      <c r="F52" s="42">
        <f>Injuries!E53*1000</f>
        <v>763000</v>
      </c>
      <c r="G52" s="42">
        <f>Injuries!F53*1000</f>
        <v>29000</v>
      </c>
      <c r="H52" s="42">
        <f>Injuries!G53*1000</f>
        <v>16000</v>
      </c>
      <c r="I52" s="42">
        <f>Injuries!H53*1000</f>
        <v>4000</v>
      </c>
      <c r="J52" s="50">
        <f>Injuries!I53*1000</f>
        <v>49000</v>
      </c>
      <c r="K52" s="51">
        <f>Injuries!J53*1000</f>
        <v>131000</v>
      </c>
      <c r="L52" s="42">
        <f>Injuries!K53*1000</f>
        <v>69000</v>
      </c>
      <c r="M52" s="42">
        <f>Injuries!L53*1000</f>
        <v>53000</v>
      </c>
      <c r="N52" s="42">
        <f>Injuries!M53*1000</f>
        <v>8000</v>
      </c>
    </row>
    <row r="53" spans="1:14">
      <c r="A53" s="77" t="s">
        <v>85</v>
      </c>
      <c r="B53" s="38">
        <v>1999</v>
      </c>
      <c r="C53" s="39">
        <f>Injuries!B54*1000</f>
        <v>3236000</v>
      </c>
      <c r="D53" s="39">
        <f>Injuries!C54*1000</f>
        <v>3047000</v>
      </c>
      <c r="E53" s="40">
        <f>Injuries!D54*1000</f>
        <v>2138000</v>
      </c>
      <c r="F53" s="40">
        <f>Injuries!E54*1000</f>
        <v>847000</v>
      </c>
      <c r="G53" s="40">
        <f>Injuries!F54*1000</f>
        <v>33000</v>
      </c>
      <c r="H53" s="40">
        <f>Injuries!G54*1000</f>
        <v>22000</v>
      </c>
      <c r="I53" s="40">
        <f>Injuries!H54*1000</f>
        <v>7000</v>
      </c>
      <c r="J53" s="41">
        <f>Injuries!I54*1000</f>
        <v>50000</v>
      </c>
      <c r="K53" s="39">
        <f>Injuries!J54*1000</f>
        <v>140000</v>
      </c>
      <c r="L53" s="40">
        <f>Injuries!K54*1000</f>
        <v>85000</v>
      </c>
      <c r="M53" s="40">
        <f>Injuries!L54*1000</f>
        <v>51000</v>
      </c>
      <c r="N53" s="40">
        <f>Injuries!M54*1000</f>
        <v>3000</v>
      </c>
    </row>
    <row r="54" spans="1:14">
      <c r="A54" s="77" t="s">
        <v>85</v>
      </c>
      <c r="B54" s="38">
        <v>2000</v>
      </c>
      <c r="C54" s="39">
        <f>Injuries!B55*1000</f>
        <v>3189000</v>
      </c>
      <c r="D54" s="39">
        <f>Injuries!C55*1000</f>
        <v>2997000</v>
      </c>
      <c r="E54" s="40">
        <f>Injuries!D55*1000</f>
        <v>2052000</v>
      </c>
      <c r="F54" s="42">
        <f>Injuries!E55*1000</f>
        <v>887000</v>
      </c>
      <c r="G54" s="42">
        <f>Injuries!F55*1000</f>
        <v>31000</v>
      </c>
      <c r="H54" s="42">
        <f>Injuries!G55*1000</f>
        <v>18000</v>
      </c>
      <c r="I54" s="42">
        <f>Injuries!H55*1000</f>
        <v>10000</v>
      </c>
      <c r="J54" s="50">
        <f>Injuries!I55*1000</f>
        <v>58000</v>
      </c>
      <c r="K54" s="51">
        <f>Injuries!J55*1000</f>
        <v>134000</v>
      </c>
      <c r="L54" s="42">
        <f>Injuries!K55*1000</f>
        <v>78000</v>
      </c>
      <c r="M54" s="42">
        <f>Injuries!L55*1000</f>
        <v>51000</v>
      </c>
      <c r="N54" s="42">
        <f>Injuries!M55*1000</f>
        <v>5000</v>
      </c>
    </row>
    <row r="55" spans="1:14">
      <c r="A55" s="77" t="s">
        <v>85</v>
      </c>
      <c r="B55" s="38">
        <v>2001</v>
      </c>
      <c r="C55" s="39">
        <f>Injuries!B56*1000</f>
        <v>3033000</v>
      </c>
      <c r="D55" s="39">
        <f>Injuries!C56*1000</f>
        <v>2841000</v>
      </c>
      <c r="E55" s="46">
        <f>Injuries!D56*1000</f>
        <v>1927000</v>
      </c>
      <c r="F55" s="47">
        <f>Injuries!E56*1000</f>
        <v>861000</v>
      </c>
      <c r="G55" s="47">
        <f>Injuries!F56*1000</f>
        <v>29000</v>
      </c>
      <c r="H55" s="47">
        <f>Injuries!G56*1000</f>
        <v>15000</v>
      </c>
      <c r="I55" s="47">
        <f>Injuries!H56*1000</f>
        <v>9000</v>
      </c>
      <c r="J55" s="52">
        <f>Injuries!I56*1000</f>
        <v>60000</v>
      </c>
      <c r="K55" s="53">
        <f>Injuries!J56*1000</f>
        <v>131000</v>
      </c>
      <c r="L55" s="47">
        <f>Injuries!K56*1000</f>
        <v>78000</v>
      </c>
      <c r="M55" s="47">
        <f>Injuries!L56*1000</f>
        <v>45000</v>
      </c>
      <c r="N55" s="47">
        <f>Injuries!M56*1000</f>
        <v>8000</v>
      </c>
    </row>
    <row r="56" spans="1:14">
      <c r="A56" s="77" t="s">
        <v>85</v>
      </c>
      <c r="B56" s="38">
        <v>2002</v>
      </c>
      <c r="C56" s="39">
        <f>Injuries!B57*1000</f>
        <v>2926000</v>
      </c>
      <c r="D56" s="39">
        <f>Injuries!C57*1000</f>
        <v>2735000</v>
      </c>
      <c r="E56" s="46">
        <f>Injuries!D57*1000</f>
        <v>1805000</v>
      </c>
      <c r="F56" s="47">
        <f>Injuries!E57*1000</f>
        <v>879000</v>
      </c>
      <c r="G56" s="47">
        <f>Injuries!F57*1000</f>
        <v>26000</v>
      </c>
      <c r="H56" s="47">
        <f>Injuries!G57*1000</f>
        <v>19000</v>
      </c>
      <c r="I56" s="47">
        <f>Injuries!H57*1000</f>
        <v>6000</v>
      </c>
      <c r="J56" s="52">
        <f>Injuries!I57*1000</f>
        <v>65000</v>
      </c>
      <c r="K56" s="53">
        <f>Injuries!J57*1000</f>
        <v>126000</v>
      </c>
      <c r="L56" s="47">
        <f>Injuries!K57*1000</f>
        <v>71000</v>
      </c>
      <c r="M56" s="47">
        <f>Injuries!L57*1000</f>
        <v>48000</v>
      </c>
      <c r="N56" s="47">
        <f>Injuries!M57*1000</f>
        <v>7000</v>
      </c>
    </row>
    <row r="57" spans="1:14">
      <c r="A57" s="77" t="s">
        <v>85</v>
      </c>
      <c r="B57" s="38">
        <v>2003</v>
      </c>
      <c r="C57" s="39">
        <f>Injuries!B58*1000</f>
        <v>2888601</v>
      </c>
      <c r="D57" s="39">
        <f>Injuries!C58*1000</f>
        <v>2697324</v>
      </c>
      <c r="E57" s="46">
        <f>Injuries!D58*1000</f>
        <v>1756495</v>
      </c>
      <c r="F57" s="46">
        <f>Injuries!E58*1000</f>
        <v>889048</v>
      </c>
      <c r="G57" s="46">
        <f>Injuries!F58*1000</f>
        <v>26893</v>
      </c>
      <c r="H57" s="46">
        <f>Injuries!G58*1000</f>
        <v>18174</v>
      </c>
      <c r="I57" s="46">
        <f>Injuries!H58*1000</f>
        <v>6714</v>
      </c>
      <c r="J57" s="48">
        <f>Injuries!I58*1000</f>
        <v>67103</v>
      </c>
      <c r="K57" s="45">
        <f>Injuries!J58*1000</f>
        <v>124174</v>
      </c>
      <c r="L57" s="46">
        <f>Injuries!K58*1000</f>
        <v>69949</v>
      </c>
      <c r="M57" s="46">
        <f>Injuries!L58*1000</f>
        <v>46378</v>
      </c>
      <c r="N57" s="46">
        <f>Injuries!M58*1000</f>
        <v>7847</v>
      </c>
    </row>
    <row r="58" spans="1:14">
      <c r="A58" s="77" t="s">
        <v>85</v>
      </c>
      <c r="B58" s="38">
        <v>2004</v>
      </c>
      <c r="C58" s="39">
        <f>Injuries!B59*1000</f>
        <v>2788378</v>
      </c>
      <c r="D58" s="39">
        <f>Injuries!C59*1000</f>
        <v>2593679</v>
      </c>
      <c r="E58" s="46">
        <f>Injuries!D59*1000</f>
        <v>1642549</v>
      </c>
      <c r="F58" s="46">
        <f>Injuries!E59*1000</f>
        <v>900171</v>
      </c>
      <c r="G58" s="46">
        <f>Injuries!F59*1000</f>
        <v>27287</v>
      </c>
      <c r="H58" s="46">
        <f>Injuries!G59*1000</f>
        <v>16410</v>
      </c>
      <c r="I58" s="46">
        <f>Injuries!H59*1000</f>
        <v>7262</v>
      </c>
      <c r="J58" s="48">
        <f>Injuries!I59*1000</f>
        <v>76379</v>
      </c>
      <c r="K58" s="45">
        <f>Injuries!J59*1000</f>
        <v>118320</v>
      </c>
      <c r="L58" s="46">
        <f>Injuries!K59*1000</f>
        <v>67985</v>
      </c>
      <c r="M58" s="46">
        <f>Injuries!L59*1000</f>
        <v>41086</v>
      </c>
      <c r="N58" s="46">
        <f>Injuries!M59*1000</f>
        <v>9249</v>
      </c>
    </row>
    <row r="59" spans="1:14">
      <c r="A59" s="77" t="s">
        <v>85</v>
      </c>
      <c r="B59" s="38">
        <v>2005</v>
      </c>
      <c r="C59" s="39">
        <f>Injuries!B60*1000</f>
        <v>2699000</v>
      </c>
      <c r="D59" s="39">
        <f>Injuries!C60*1000</f>
        <v>2494000</v>
      </c>
      <c r="E59" s="46">
        <f>Injuries!D60*1000</f>
        <v>1573000</v>
      </c>
      <c r="F59" s="46">
        <f>Injuries!E60*1000</f>
        <v>872000</v>
      </c>
      <c r="G59" s="46">
        <f>Injuries!F60*1000</f>
        <v>27000</v>
      </c>
      <c r="H59" s="46">
        <f>Injuries!G60*1000</f>
        <v>11000</v>
      </c>
      <c r="I59" s="46">
        <f>Injuries!H60*1000</f>
        <v>10000</v>
      </c>
      <c r="J59" s="48">
        <f>Injuries!I60*1000</f>
        <v>87000</v>
      </c>
      <c r="K59" s="45">
        <f>Injuries!J60*1000</f>
        <v>118000</v>
      </c>
      <c r="L59" s="46">
        <f>Injuries!K60*1000</f>
        <v>64000</v>
      </c>
      <c r="M59" s="46">
        <f>Injuries!L60*1000</f>
        <v>45000</v>
      </c>
      <c r="N59" s="46">
        <f>Injuries!M60*1000</f>
        <v>8000</v>
      </c>
    </row>
    <row r="60" spans="1:14">
      <c r="A60" s="77" t="s">
        <v>85</v>
      </c>
      <c r="B60" s="38">
        <v>2006</v>
      </c>
      <c r="C60" s="39">
        <f>Injuries!B61*1000</f>
        <v>2575000</v>
      </c>
      <c r="D60" s="55">
        <f>Injuries!C61*1000</f>
        <v>2375000</v>
      </c>
      <c r="E60" s="56">
        <f>Injuries!D61*1000</f>
        <v>1475000</v>
      </c>
      <c r="F60" s="57">
        <f>Injuries!E61*1000</f>
        <v>857000</v>
      </c>
      <c r="G60" s="57">
        <f>Injuries!F61*1000</f>
        <v>23000</v>
      </c>
      <c r="H60" s="57">
        <f>Injuries!G61*1000</f>
        <v>10000</v>
      </c>
      <c r="I60" s="57">
        <f>Injuries!H61*1000</f>
        <v>11000</v>
      </c>
      <c r="J60" s="58">
        <f>Injuries!I61*1000</f>
        <v>88000</v>
      </c>
      <c r="K60" s="59">
        <f>Injuries!J61*1000</f>
        <v>112000</v>
      </c>
      <c r="L60" s="57">
        <f>Injuries!K61*1000</f>
        <v>61000</v>
      </c>
      <c r="M60" s="57">
        <f>Injuries!L61*1000</f>
        <v>44000</v>
      </c>
      <c r="N60" s="56">
        <f>Injuries!M61*1000</f>
        <v>7000</v>
      </c>
    </row>
    <row r="61" spans="1:14">
      <c r="A61" s="77" t="s">
        <v>85</v>
      </c>
      <c r="B61" s="38">
        <v>2007</v>
      </c>
      <c r="C61" s="39">
        <f>Injuries!B62*1000</f>
        <v>2491000</v>
      </c>
      <c r="D61" s="56">
        <f>Injuries!C62*1000</f>
        <v>2264000</v>
      </c>
      <c r="E61" s="56">
        <f>Injuries!D62*1000</f>
        <v>1379000</v>
      </c>
      <c r="F61" s="57">
        <f>Injuries!E62*1000</f>
        <v>841000</v>
      </c>
      <c r="G61" s="57">
        <f>Injuries!F62*1000</f>
        <v>23000</v>
      </c>
      <c r="H61" s="57">
        <f>Injuries!G62*1000</f>
        <v>12000</v>
      </c>
      <c r="I61" s="57">
        <f>Injuries!H62*1000</f>
        <v>8000</v>
      </c>
      <c r="J61" s="58">
        <f>Injuries!I62*1000</f>
        <v>103000</v>
      </c>
      <c r="K61" s="57">
        <f>Injuries!J62*1000</f>
        <v>124000</v>
      </c>
      <c r="L61" s="57">
        <f>Injuries!K62*1000</f>
        <v>70000</v>
      </c>
      <c r="M61" s="57">
        <f>Injuries!L62*1000</f>
        <v>43000</v>
      </c>
      <c r="N61" s="56">
        <f>Injuries!M62*1000</f>
        <v>10000</v>
      </c>
    </row>
    <row r="62" spans="1:14">
      <c r="A62" s="77" t="s">
        <v>85</v>
      </c>
      <c r="B62" s="38">
        <v>2008</v>
      </c>
      <c r="C62" s="39">
        <f>Injuries!B63*1000</f>
        <v>2345737</v>
      </c>
      <c r="D62" s="63">
        <f>Injuries!C63*1000</f>
        <v>2119788</v>
      </c>
      <c r="E62" s="63">
        <f>Injuries!D63*1000</f>
        <v>1304006</v>
      </c>
      <c r="F62" s="63">
        <f>Injuries!E63*1000</f>
        <v>768410</v>
      </c>
      <c r="G62" s="63">
        <f>Injuries!F63*1000</f>
        <v>22947</v>
      </c>
      <c r="H62" s="63">
        <f>Injuries!G63*1000</f>
        <v>15149</v>
      </c>
      <c r="I62" s="64">
        <f>Injuries!H63*1000</f>
        <v>9276</v>
      </c>
      <c r="J62" s="37">
        <f>Injuries!I63*1000</f>
        <v>95986</v>
      </c>
      <c r="K62" s="65">
        <f>Injuries!J63*1000</f>
        <v>129961.99999999999</v>
      </c>
      <c r="L62" s="66">
        <f>Injuries!K63*1000</f>
        <v>68832</v>
      </c>
      <c r="M62" s="66">
        <f>Injuries!L63*1000</f>
        <v>52395</v>
      </c>
      <c r="N62" s="67">
        <f>Injuries!M63*1000</f>
        <v>8735</v>
      </c>
    </row>
    <row r="63" spans="1:14">
      <c r="A63" s="77" t="s">
        <v>85</v>
      </c>
      <c r="B63" s="38">
        <v>2009</v>
      </c>
      <c r="C63" s="39">
        <f>Injuries!B64*1000</f>
        <v>2217275</v>
      </c>
      <c r="D63" s="70">
        <f>Injuries!C64*1000</f>
        <v>2011362</v>
      </c>
      <c r="E63" s="70">
        <f>Injuries!D64*1000</f>
        <v>1216478</v>
      </c>
      <c r="F63" s="70">
        <f>Injuries!E64*1000</f>
        <v>759258</v>
      </c>
      <c r="G63" s="70">
        <f>Injuries!F64*1000</f>
        <v>16569</v>
      </c>
      <c r="H63" s="70">
        <f>Injuries!G64*1000</f>
        <v>12059</v>
      </c>
      <c r="I63" s="71">
        <f>Injuries!H64*1000</f>
        <v>6998</v>
      </c>
      <c r="J63" s="72">
        <f>Injuries!I64*1000</f>
        <v>89607</v>
      </c>
      <c r="K63" s="70">
        <f>Injuries!J64*1000</f>
        <v>116306</v>
      </c>
      <c r="L63" s="70">
        <f>Injuries!K64*1000</f>
        <v>58647</v>
      </c>
      <c r="M63" s="70">
        <f>Injuries!L64*1000</f>
        <v>50685</v>
      </c>
      <c r="N63" s="73">
        <f>Injuries!M64*1000</f>
        <v>6974</v>
      </c>
    </row>
  </sheetData>
  <mergeCells count="2">
    <mergeCell ref="B2:N2"/>
    <mergeCell ref="B3:N3"/>
  </mergeCells>
  <hyperlinks>
    <hyperlink ref="F5" location="Data!A66" display="Light trucks \1"/>
    <hyperlink ref="G5" location="Data!A66" display="Large trucks \1"/>
    <hyperlink ref="I5" location="Data!A68" display="Other/ unknown \3"/>
    <hyperlink ref="N5" location="Data!A68" display="Other/ unknown \3"/>
  </hyperlinks>
  <pageMargins left="0.75" right="0.75" top="1" bottom="1" header="0.5" footer="0.5"/>
  <pageSetup paperSize="17" scale="60" orientation="landscape" r:id="rId2"/>
  <headerFooter alignWithMargins="0">
    <oddFooter>&amp;C&amp;D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A1:E20"/>
  <sheetViews>
    <sheetView workbookViewId="0">
      <selection activeCell="B1" sqref="B1:E20"/>
    </sheetView>
  </sheetViews>
  <sheetFormatPr defaultRowHeight="15"/>
  <sheetData>
    <row r="1" spans="1:5" ht="60">
      <c r="A1" s="83"/>
      <c r="B1" s="83" t="s">
        <v>107</v>
      </c>
      <c r="C1" s="83" t="s">
        <v>108</v>
      </c>
      <c r="D1" s="83" t="s">
        <v>109</v>
      </c>
      <c r="E1" s="83" t="s">
        <v>110</v>
      </c>
    </row>
    <row r="2" spans="1:5">
      <c r="A2" s="83">
        <v>1994</v>
      </c>
      <c r="B2" s="84">
        <v>5574</v>
      </c>
      <c r="C2" s="84">
        <v>1757</v>
      </c>
      <c r="D2" s="84">
        <v>1508</v>
      </c>
      <c r="E2" s="6">
        <v>65</v>
      </c>
    </row>
    <row r="3" spans="1:5">
      <c r="A3" s="83">
        <v>1995</v>
      </c>
      <c r="B3" s="84">
        <v>5938</v>
      </c>
      <c r="C3" s="84">
        <v>1935</v>
      </c>
      <c r="D3" s="84">
        <v>1639</v>
      </c>
      <c r="E3" s="6">
        <v>56</v>
      </c>
    </row>
    <row r="4" spans="1:5">
      <c r="A4" s="83">
        <v>1996</v>
      </c>
      <c r="B4" s="84">
        <v>5904</v>
      </c>
      <c r="C4" s="84">
        <v>2147</v>
      </c>
      <c r="D4" s="84">
        <v>1832</v>
      </c>
      <c r="E4" s="6">
        <v>49</v>
      </c>
    </row>
    <row r="5" spans="1:5">
      <c r="A5" s="83">
        <v>1997</v>
      </c>
      <c r="B5" s="84">
        <v>5887</v>
      </c>
      <c r="C5" s="84">
        <v>2380</v>
      </c>
      <c r="D5" s="84">
        <v>1914</v>
      </c>
      <c r="E5" s="6">
        <v>68</v>
      </c>
    </row>
    <row r="6" spans="1:5">
      <c r="A6" s="83">
        <v>1998</v>
      </c>
      <c r="B6" s="84">
        <v>5921</v>
      </c>
      <c r="C6" s="84">
        <v>2713</v>
      </c>
      <c r="D6" s="84">
        <v>2042</v>
      </c>
      <c r="E6" s="6">
        <v>29</v>
      </c>
    </row>
    <row r="7" spans="1:5">
      <c r="A7" s="83">
        <v>1999</v>
      </c>
      <c r="B7" s="84">
        <v>6127</v>
      </c>
      <c r="C7" s="84">
        <v>3026</v>
      </c>
      <c r="D7" s="84">
        <v>2088</v>
      </c>
      <c r="E7" s="6">
        <v>24</v>
      </c>
    </row>
    <row r="8" spans="1:5">
      <c r="A8" s="83">
        <v>2000</v>
      </c>
      <c r="B8" s="84">
        <v>6003</v>
      </c>
      <c r="C8" s="84">
        <v>3358</v>
      </c>
      <c r="D8" s="84">
        <v>2129</v>
      </c>
      <c r="E8" s="6">
        <v>36</v>
      </c>
    </row>
    <row r="9" spans="1:5">
      <c r="A9" s="83">
        <v>2001</v>
      </c>
      <c r="B9" s="84">
        <v>6139</v>
      </c>
      <c r="C9" s="84">
        <v>3530</v>
      </c>
      <c r="D9" s="84">
        <v>2019</v>
      </c>
      <c r="E9" s="6">
        <v>35</v>
      </c>
    </row>
    <row r="10" spans="1:5">
      <c r="A10" s="83">
        <v>2002</v>
      </c>
      <c r="B10" s="84">
        <v>6100</v>
      </c>
      <c r="C10" s="84">
        <v>4031</v>
      </c>
      <c r="D10" s="84">
        <v>2109</v>
      </c>
      <c r="E10" s="6">
        <v>34</v>
      </c>
    </row>
    <row r="11" spans="1:5">
      <c r="A11" s="83">
        <v>2003</v>
      </c>
      <c r="B11" s="84">
        <v>5957</v>
      </c>
      <c r="C11" s="84">
        <v>4483</v>
      </c>
      <c r="D11" s="84">
        <v>2080</v>
      </c>
      <c r="E11" s="6">
        <v>26</v>
      </c>
    </row>
    <row r="12" spans="1:5">
      <c r="A12" s="83">
        <v>2004</v>
      </c>
      <c r="B12" s="84">
        <v>5838</v>
      </c>
      <c r="C12" s="84">
        <v>4760</v>
      </c>
      <c r="D12" s="84">
        <v>2046</v>
      </c>
      <c r="E12" s="6">
        <v>30</v>
      </c>
    </row>
    <row r="13" spans="1:5">
      <c r="A13" s="83">
        <v>2005</v>
      </c>
      <c r="B13" s="84">
        <v>6067</v>
      </c>
      <c r="C13" s="84">
        <v>4831</v>
      </c>
      <c r="D13" s="84">
        <v>2112</v>
      </c>
      <c r="E13" s="6">
        <v>27</v>
      </c>
    </row>
    <row r="14" spans="1:5">
      <c r="A14" s="83">
        <v>2006</v>
      </c>
      <c r="B14" s="84">
        <v>5993</v>
      </c>
      <c r="C14" s="84">
        <v>4928</v>
      </c>
      <c r="D14" s="84">
        <v>1815</v>
      </c>
      <c r="E14" s="6">
        <v>25</v>
      </c>
    </row>
    <row r="15" spans="1:5">
      <c r="A15" s="83">
        <v>2007</v>
      </c>
      <c r="B15" s="84">
        <v>5847</v>
      </c>
      <c r="C15" s="84">
        <v>4834</v>
      </c>
      <c r="D15" s="84">
        <v>1764</v>
      </c>
      <c r="E15" s="6">
        <v>13</v>
      </c>
    </row>
    <row r="16" spans="1:5">
      <c r="A16" s="83">
        <v>2008</v>
      </c>
      <c r="B16" s="84">
        <v>5097</v>
      </c>
      <c r="C16" s="84">
        <v>4214</v>
      </c>
      <c r="D16" s="84">
        <v>1492</v>
      </c>
      <c r="E16" s="6">
        <v>13</v>
      </c>
    </row>
    <row r="17" spans="1:5">
      <c r="A17" s="83">
        <v>2009</v>
      </c>
      <c r="B17" s="84">
        <v>4801</v>
      </c>
      <c r="C17" s="84">
        <v>4104</v>
      </c>
      <c r="D17" s="84">
        <v>1396</v>
      </c>
      <c r="E17" s="6">
        <v>11</v>
      </c>
    </row>
    <row r="18" spans="1:5">
      <c r="A18" s="83">
        <v>2010</v>
      </c>
      <c r="B18" s="84">
        <v>4486</v>
      </c>
      <c r="C18" s="84">
        <v>3942</v>
      </c>
      <c r="D18" s="84">
        <v>1346</v>
      </c>
      <c r="E18" s="6">
        <v>8</v>
      </c>
    </row>
    <row r="19" spans="1:5">
      <c r="A19" s="83">
        <v>2011</v>
      </c>
      <c r="B19" s="84">
        <v>4270</v>
      </c>
      <c r="C19" s="84">
        <v>3884</v>
      </c>
      <c r="D19" s="84">
        <v>1128</v>
      </c>
      <c r="E19" s="6">
        <v>20</v>
      </c>
    </row>
    <row r="20" spans="1:5">
      <c r="A20" s="83">
        <v>2012</v>
      </c>
      <c r="B20" s="84">
        <v>4332</v>
      </c>
      <c r="C20" s="84">
        <v>3875</v>
      </c>
      <c r="D20" s="84">
        <v>1167</v>
      </c>
      <c r="E20" s="6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Sheet5</vt:lpstr>
      <vt:lpstr>Data - Summary</vt:lpstr>
      <vt:lpstr>Restraints</vt:lpstr>
      <vt:lpstr>Alcohol</vt:lpstr>
      <vt:lpstr>Injuries</vt:lpstr>
      <vt:lpstr>Injuries (mod)</vt:lpstr>
      <vt:lpstr>Sheet3</vt:lpstr>
      <vt:lpstr>Injuries!Print_Area</vt:lpstr>
      <vt:lpstr>'Injuries (mod)'!Print_Area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</dc:creator>
  <cp:lastModifiedBy>Kedar</cp:lastModifiedBy>
  <dcterms:created xsi:type="dcterms:W3CDTF">2015-04-14T01:56:17Z</dcterms:created>
  <dcterms:modified xsi:type="dcterms:W3CDTF">2015-04-19T19:05:16Z</dcterms:modified>
</cp:coreProperties>
</file>