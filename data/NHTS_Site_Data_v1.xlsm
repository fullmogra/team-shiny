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showPivotChartFilter="1" defaultThemeVersion="124226"/>
  <bookViews>
    <workbookView xWindow="240" yWindow="30" windowWidth="20115" windowHeight="8010" activeTab="3"/>
  </bookViews>
  <sheets>
    <sheet name="Sheet5" sheetId="7" r:id="rId1"/>
    <sheet name="Data - Summary" sheetId="6" r:id="rId2"/>
    <sheet name="Restraints" sheetId="9" r:id="rId3"/>
    <sheet name="Alcohol" sheetId="10" r:id="rId4"/>
  </sheets>
  <calcPr calcId="125725"/>
  <pivotCaches>
    <pivotCache cacheId="9" r:id="rId5"/>
  </pivotCaches>
</workbook>
</file>

<file path=xl/calcChain.xml><?xml version="1.0" encoding="utf-8"?>
<calcChain xmlns="http://schemas.openxmlformats.org/spreadsheetml/2006/main">
  <c r="O5" i="10"/>
  <c r="O6"/>
  <c r="O7"/>
  <c r="O8"/>
  <c r="O9"/>
  <c r="O10"/>
  <c r="O11"/>
  <c r="O12"/>
  <c r="O13"/>
  <c r="O14"/>
  <c r="O15"/>
  <c r="O16"/>
  <c r="O17"/>
  <c r="O18"/>
  <c r="O19"/>
  <c r="O20"/>
  <c r="O21"/>
  <c r="O22"/>
  <c r="O4"/>
  <c r="J5"/>
  <c r="K5"/>
  <c r="L5"/>
  <c r="M5"/>
  <c r="J6"/>
  <c r="K6"/>
  <c r="L6"/>
  <c r="M6"/>
  <c r="J7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K4"/>
  <c r="L4"/>
  <c r="M4"/>
  <c r="J4"/>
  <c r="H4" i="9"/>
  <c r="I4"/>
  <c r="J4"/>
  <c r="H5"/>
  <c r="I5"/>
  <c r="J5"/>
  <c r="H6"/>
  <c r="I6"/>
  <c r="J6"/>
  <c r="H7"/>
  <c r="I7"/>
  <c r="J7"/>
  <c r="H8"/>
  <c r="I8"/>
  <c r="J8"/>
  <c r="H9"/>
  <c r="I9"/>
  <c r="J9"/>
  <c r="H10"/>
  <c r="I10"/>
  <c r="J10"/>
  <c r="H11"/>
  <c r="I11"/>
  <c r="J11"/>
  <c r="H12"/>
  <c r="I12"/>
  <c r="J12"/>
  <c r="H13"/>
  <c r="I13"/>
  <c r="J13"/>
  <c r="H14"/>
  <c r="I14"/>
  <c r="J14"/>
  <c r="H15"/>
  <c r="I15"/>
  <c r="J15"/>
  <c r="H16"/>
  <c r="I16"/>
  <c r="J16"/>
  <c r="H17"/>
  <c r="I17"/>
  <c r="J17"/>
  <c r="H18"/>
  <c r="I18"/>
  <c r="J18"/>
  <c r="H19"/>
  <c r="I19"/>
  <c r="J19"/>
  <c r="H20"/>
  <c r="I20"/>
  <c r="J20"/>
  <c r="H21"/>
  <c r="I21"/>
  <c r="J21"/>
  <c r="I3"/>
  <c r="J3"/>
  <c r="H3"/>
  <c r="D1" i="7"/>
</calcChain>
</file>

<file path=xl/sharedStrings.xml><?xml version="1.0" encoding="utf-8"?>
<sst xmlns="http://schemas.openxmlformats.org/spreadsheetml/2006/main" count="48" uniqueCount="46">
  <si>
    <t>Grand Total</t>
  </si>
  <si>
    <t>Total</t>
  </si>
  <si>
    <t>Fatal Crashes</t>
  </si>
  <si>
    <t>Drivers</t>
  </si>
  <si>
    <t>Vehicle Miles Traveled (Billions)</t>
  </si>
  <si>
    <t>Resident Population (Thousands)</t>
  </si>
  <si>
    <t>Registered Vehicles (Thousands)</t>
  </si>
  <si>
    <t>Licensed Drivers (Thousands)</t>
  </si>
  <si>
    <t>Fatalities per 100 Million Vehicle Miles Traveled</t>
  </si>
  <si>
    <t>Fatalities per 100,000 Population</t>
  </si>
  <si>
    <t>Fatalities per 100,000 Registered Vehicles</t>
  </si>
  <si>
    <t>Fatalities per 100,000 Licensed Drivers</t>
  </si>
  <si>
    <t>Nonmotorist - Pedestrians</t>
  </si>
  <si>
    <t>Nonmotorist - Pedalcyclists</t>
  </si>
  <si>
    <t>Nonmotorist - Other/ Unknown</t>
  </si>
  <si>
    <t>Year</t>
  </si>
  <si>
    <t>Motorist - Drivers</t>
  </si>
  <si>
    <t>Motorist - Passengers</t>
  </si>
  <si>
    <t>Motorist - Unknown</t>
  </si>
  <si>
    <t>Sum of Fatal Crashes</t>
  </si>
  <si>
    <t xml:space="preserve">Year </t>
  </si>
  <si>
    <t>Restraint Used - Occupants</t>
  </si>
  <si>
    <t>Restraint Not Used - Occupants</t>
  </si>
  <si>
    <t>Restraint Use Unknown - Occupants</t>
  </si>
  <si>
    <t>Restraint Used - Killed</t>
  </si>
  <si>
    <t>Restraint Not Used - Killed</t>
  </si>
  <si>
    <t>Restraint Use Unknown - Killed</t>
  </si>
  <si>
    <t>Restraint Used - % Killed</t>
  </si>
  <si>
    <t>Restraint Not Used - % Killed</t>
  </si>
  <si>
    <t>Restraint Use Unknown - % Killed</t>
  </si>
  <si>
    <t>Drivers in Fatal Crashes by Blood Alcohol Concentration (BAC) and Sex, 1994 - 2012 - State : USA</t>
  </si>
  <si>
    <t>Male Drivers</t>
  </si>
  <si>
    <t xml:space="preserve">Male Drivers - BAC=.08+ </t>
  </si>
  <si>
    <t xml:space="preserve">Male Drivers - BAC=.01-.07 </t>
  </si>
  <si>
    <t xml:space="preserve">Male Drivers - BAC=&lt;.01 </t>
  </si>
  <si>
    <t xml:space="preserve">Female Drivers - BAC=&lt;.01 </t>
  </si>
  <si>
    <t xml:space="preserve">Female Drivers - BAC=.01-.07 </t>
  </si>
  <si>
    <t xml:space="preserve">Female Drivers - BAC=.08+ </t>
  </si>
  <si>
    <t>Female Drivers</t>
  </si>
  <si>
    <t xml:space="preserve">Drivers - BAC=&lt;.01 </t>
  </si>
  <si>
    <t xml:space="preserve">Drivers - BAC=.01-.07 </t>
  </si>
  <si>
    <t xml:space="preserve">Drivers - BAC=.08+ </t>
  </si>
  <si>
    <t>Persons Killed</t>
  </si>
  <si>
    <t xml:space="preserve">Fatalities - BAC=&lt;.01 </t>
  </si>
  <si>
    <t xml:space="preserve">Fatalities - BAC=.01-.07 </t>
  </si>
  <si>
    <t xml:space="preserve">Fatalities - BAC=.08+ 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</si>
</sst>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NumberFormat="1"/>
    <xf numFmtId="3" fontId="0" fillId="0" borderId="0" xfId="0" applyNumberFormat="1"/>
    <xf numFmtId="0" fontId="0" fillId="33" borderId="0" xfId="0" applyFill="1"/>
    <xf numFmtId="3" fontId="0" fillId="34" borderId="0" xfId="0" applyNumberFormat="1" applyFill="1"/>
    <xf numFmtId="9" fontId="0" fillId="34" borderId="0" xfId="1" applyFont="1" applyFill="1"/>
    <xf numFmtId="0" fontId="0" fillId="0" borderId="0" xfId="0" applyAlignment="1">
      <alignment wrapText="1"/>
    </xf>
    <xf numFmtId="0" fontId="0" fillId="34" borderId="0" xfId="0" applyFill="1" applyAlignment="1">
      <alignment wrapText="1"/>
    </xf>
    <xf numFmtId="0" fontId="0" fillId="0" borderId="0" xfId="0" applyFill="1" applyAlignment="1">
      <alignment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[NHTS_Site_Data_v1.xlsm]Sheet5!PivotTable1</c:name>
    <c:fmtId val="0"/>
  </c:pivotSource>
  <c:chart>
    <c:title>
      <c:tx>
        <c:strRef>
          <c:f>Sheet5!$D$1</c:f>
          <c:strCache>
            <c:ptCount val="1"/>
            <c:pt idx="0">
              <c:v>Fatal Crashes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Sheet5!$D$1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Sheet5!$D$1</c:f>
              <c:strCach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strCache>
            </c:strRef>
          </c:cat>
          <c:val>
            <c:numRef>
              <c:f>Sheet5!$D$1</c:f>
              <c:numCache>
                <c:formatCode>General</c:formatCode>
                <c:ptCount val="19"/>
                <c:pt idx="0">
                  <c:v>36254</c:v>
                </c:pt>
                <c:pt idx="1">
                  <c:v>37241</c:v>
                </c:pt>
                <c:pt idx="2">
                  <c:v>37494</c:v>
                </c:pt>
                <c:pt idx="3">
                  <c:v>37324</c:v>
                </c:pt>
                <c:pt idx="4">
                  <c:v>37107</c:v>
                </c:pt>
                <c:pt idx="5">
                  <c:v>37140</c:v>
                </c:pt>
                <c:pt idx="6">
                  <c:v>37526</c:v>
                </c:pt>
                <c:pt idx="7">
                  <c:v>37862</c:v>
                </c:pt>
                <c:pt idx="8">
                  <c:v>38491</c:v>
                </c:pt>
                <c:pt idx="9">
                  <c:v>38477</c:v>
                </c:pt>
                <c:pt idx="10">
                  <c:v>38444</c:v>
                </c:pt>
                <c:pt idx="11">
                  <c:v>39252</c:v>
                </c:pt>
                <c:pt idx="12">
                  <c:v>38648</c:v>
                </c:pt>
                <c:pt idx="13">
                  <c:v>37435</c:v>
                </c:pt>
                <c:pt idx="14">
                  <c:v>34172</c:v>
                </c:pt>
                <c:pt idx="15">
                  <c:v>30862</c:v>
                </c:pt>
                <c:pt idx="16">
                  <c:v>30296</c:v>
                </c:pt>
                <c:pt idx="17">
                  <c:v>29867</c:v>
                </c:pt>
                <c:pt idx="18">
                  <c:v>30800</c:v>
                </c:pt>
              </c:numCache>
            </c:numRef>
          </c:val>
        </c:ser>
        <c:marker val="1"/>
        <c:axId val="60582144"/>
        <c:axId val="60686336"/>
      </c:lineChart>
      <c:catAx>
        <c:axId val="60582144"/>
        <c:scaling>
          <c:orientation val="minMax"/>
        </c:scaling>
        <c:axPos val="b"/>
        <c:tickLblPos val="nextTo"/>
        <c:crossAx val="60686336"/>
        <c:crosses val="autoZero"/>
        <c:auto val="1"/>
        <c:lblAlgn val="ctr"/>
        <c:lblOffset val="100"/>
      </c:catAx>
      <c:valAx>
        <c:axId val="60686336"/>
        <c:scaling>
          <c:orientation val="minMax"/>
        </c:scaling>
        <c:axPos val="l"/>
        <c:numFmt formatCode="#,##0" sourceLinked="0"/>
        <c:tickLblPos val="nextTo"/>
        <c:crossAx val="60582144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Restraints!$B$2</c:f>
              <c:strCache>
                <c:ptCount val="1"/>
                <c:pt idx="0">
                  <c:v>Restraint Used - Occupants</c:v>
                </c:pt>
              </c:strCache>
            </c:strRef>
          </c:tx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Restraints!$B$3:$B$21</c:f>
              <c:numCache>
                <c:formatCode>#,##0</c:formatCode>
                <c:ptCount val="19"/>
                <c:pt idx="0">
                  <c:v>22763</c:v>
                </c:pt>
                <c:pt idx="1">
                  <c:v>24166</c:v>
                </c:pt>
                <c:pt idx="2">
                  <c:v>25207</c:v>
                </c:pt>
                <c:pt idx="3">
                  <c:v>25313</c:v>
                </c:pt>
                <c:pt idx="4">
                  <c:v>25854</c:v>
                </c:pt>
                <c:pt idx="5">
                  <c:v>25498</c:v>
                </c:pt>
                <c:pt idx="6">
                  <c:v>26690</c:v>
                </c:pt>
                <c:pt idx="7">
                  <c:v>27222</c:v>
                </c:pt>
                <c:pt idx="8">
                  <c:v>27813</c:v>
                </c:pt>
                <c:pt idx="9">
                  <c:v>28822</c:v>
                </c:pt>
                <c:pt idx="10">
                  <c:v>29072</c:v>
                </c:pt>
                <c:pt idx="11">
                  <c:v>29264</c:v>
                </c:pt>
                <c:pt idx="12">
                  <c:v>28285</c:v>
                </c:pt>
                <c:pt idx="13">
                  <c:v>27622</c:v>
                </c:pt>
                <c:pt idx="14">
                  <c:v>24649</c:v>
                </c:pt>
                <c:pt idx="15">
                  <c:v>22963</c:v>
                </c:pt>
                <c:pt idx="16">
                  <c:v>22712</c:v>
                </c:pt>
                <c:pt idx="17">
                  <c:v>22183</c:v>
                </c:pt>
                <c:pt idx="18">
                  <c:v>22983</c:v>
                </c:pt>
              </c:numCache>
            </c:numRef>
          </c:val>
        </c:ser>
        <c:ser>
          <c:idx val="1"/>
          <c:order val="1"/>
          <c:tx>
            <c:strRef>
              <c:f>Restraints!$C$2</c:f>
              <c:strCache>
                <c:ptCount val="1"/>
                <c:pt idx="0">
                  <c:v>Restraint Not Used - Occupants</c:v>
                </c:pt>
              </c:strCache>
            </c:strRef>
          </c:tx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Restraints!$C$3:$C$21</c:f>
              <c:numCache>
                <c:formatCode>#,##0</c:formatCode>
                <c:ptCount val="19"/>
                <c:pt idx="0">
                  <c:v>18946</c:v>
                </c:pt>
                <c:pt idx="1">
                  <c:v>19427</c:v>
                </c:pt>
                <c:pt idx="2">
                  <c:v>18759</c:v>
                </c:pt>
                <c:pt idx="3">
                  <c:v>18286</c:v>
                </c:pt>
                <c:pt idx="4">
                  <c:v>17601</c:v>
                </c:pt>
                <c:pt idx="5">
                  <c:v>17693</c:v>
                </c:pt>
                <c:pt idx="6">
                  <c:v>16995</c:v>
                </c:pt>
                <c:pt idx="7">
                  <c:v>16528</c:v>
                </c:pt>
                <c:pt idx="8">
                  <c:v>16710</c:v>
                </c:pt>
                <c:pt idx="9">
                  <c:v>15491</c:v>
                </c:pt>
                <c:pt idx="10">
                  <c:v>15120</c:v>
                </c:pt>
                <c:pt idx="11">
                  <c:v>14984</c:v>
                </c:pt>
                <c:pt idx="12">
                  <c:v>14434</c:v>
                </c:pt>
                <c:pt idx="13">
                  <c:v>13215</c:v>
                </c:pt>
                <c:pt idx="14">
                  <c:v>11770</c:v>
                </c:pt>
                <c:pt idx="15">
                  <c:v>10486</c:v>
                </c:pt>
                <c:pt idx="16">
                  <c:v>9598</c:v>
                </c:pt>
                <c:pt idx="17">
                  <c:v>9321</c:v>
                </c:pt>
                <c:pt idx="18">
                  <c:v>9395</c:v>
                </c:pt>
              </c:numCache>
            </c:numRef>
          </c:val>
        </c:ser>
        <c:axId val="173948928"/>
        <c:axId val="173851008"/>
      </c:barChart>
      <c:lineChart>
        <c:grouping val="standard"/>
        <c:ser>
          <c:idx val="2"/>
          <c:order val="2"/>
          <c:tx>
            <c:strRef>
              <c:f>Restraints!$H$2</c:f>
              <c:strCache>
                <c:ptCount val="1"/>
                <c:pt idx="0">
                  <c:v>Restraint Used - % Killed</c:v>
                </c:pt>
              </c:strCache>
            </c:strRef>
          </c:tx>
          <c:marker>
            <c:symbol val="none"/>
          </c:marker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Restraints!$H$3:$H$21</c:f>
              <c:numCache>
                <c:formatCode>0%</c:formatCode>
                <c:ptCount val="19"/>
                <c:pt idx="0">
                  <c:v>0.42358212889337959</c:v>
                </c:pt>
                <c:pt idx="1">
                  <c:v>0.4203840105933957</c:v>
                </c:pt>
                <c:pt idx="2">
                  <c:v>0.42512000634744318</c:v>
                </c:pt>
                <c:pt idx="3">
                  <c:v>0.43436179038438749</c:v>
                </c:pt>
                <c:pt idx="4">
                  <c:v>0.43370464918387869</c:v>
                </c:pt>
                <c:pt idx="5">
                  <c:v>0.43823044944701545</c:v>
                </c:pt>
                <c:pt idx="6">
                  <c:v>0.44162607718246533</c:v>
                </c:pt>
                <c:pt idx="7">
                  <c:v>0.43883623539784</c:v>
                </c:pt>
                <c:pt idx="8">
                  <c:v>0.45061661812821341</c:v>
                </c:pt>
                <c:pt idx="9">
                  <c:v>0.44989938241620986</c:v>
                </c:pt>
                <c:pt idx="10">
                  <c:v>0.45576499724821135</c:v>
                </c:pt>
                <c:pt idx="11">
                  <c:v>0.44641880809185347</c:v>
                </c:pt>
                <c:pt idx="12">
                  <c:v>0.44935478168640625</c:v>
                </c:pt>
                <c:pt idx="13">
                  <c:v>0.446093693432771</c:v>
                </c:pt>
                <c:pt idx="14">
                  <c:v>0.43372956306543875</c:v>
                </c:pt>
                <c:pt idx="15">
                  <c:v>0.44375734877846973</c:v>
                </c:pt>
                <c:pt idx="16">
                  <c:v>0.43893096160619938</c:v>
                </c:pt>
                <c:pt idx="17">
                  <c:v>0.42694856421584099</c:v>
                </c:pt>
                <c:pt idx="18">
                  <c:v>0.42113736239829441</c:v>
                </c:pt>
              </c:numCache>
            </c:numRef>
          </c:val>
        </c:ser>
        <c:ser>
          <c:idx val="3"/>
          <c:order val="3"/>
          <c:tx>
            <c:strRef>
              <c:f>Restraints!$I$2</c:f>
              <c:strCache>
                <c:ptCount val="1"/>
                <c:pt idx="0">
                  <c:v>Restraint Not Used - % Killed</c:v>
                </c:pt>
              </c:strCache>
            </c:strRef>
          </c:tx>
          <c:marker>
            <c:symbol val="none"/>
          </c:marker>
          <c:cat>
            <c:numRef>
              <c:f>Restraints!$A$3:$A$21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Restraints!$I$3:$I$21</c:f>
              <c:numCache>
                <c:formatCode>0%</c:formatCode>
                <c:ptCount val="19"/>
                <c:pt idx="0">
                  <c:v>0.98363770716773991</c:v>
                </c:pt>
                <c:pt idx="1">
                  <c:v>0.98435167550316571</c:v>
                </c:pt>
                <c:pt idx="2">
                  <c:v>1.0047443893597741</c:v>
                </c:pt>
                <c:pt idx="3">
                  <c:v>1.0194684458055343</c:v>
                </c:pt>
                <c:pt idx="4">
                  <c:v>1.0239190955059372</c:v>
                </c:pt>
                <c:pt idx="5">
                  <c:v>1.0352116656304753</c:v>
                </c:pt>
                <c:pt idx="6">
                  <c:v>1.0479552809649897</c:v>
                </c:pt>
                <c:pt idx="7">
                  <c:v>1.0598378509196515</c:v>
                </c:pt>
                <c:pt idx="8">
                  <c:v>1.0650508677438659</c:v>
                </c:pt>
                <c:pt idx="9">
                  <c:v>1.0821767477890387</c:v>
                </c:pt>
                <c:pt idx="10">
                  <c:v>1.0867724867724868</c:v>
                </c:pt>
                <c:pt idx="11">
                  <c:v>1.084289909236519</c:v>
                </c:pt>
                <c:pt idx="12">
                  <c:v>1.0832063184148537</c:v>
                </c:pt>
                <c:pt idx="13">
                  <c:v>1.093151721528566</c:v>
                </c:pt>
                <c:pt idx="14">
                  <c:v>1.0981308411214954</c:v>
                </c:pt>
                <c:pt idx="15">
                  <c:v>1.1009917985885944</c:v>
                </c:pt>
                <c:pt idx="16">
                  <c:v>1.1033548655969994</c:v>
                </c:pt>
                <c:pt idx="17">
                  <c:v>1.0959124557450917</c:v>
                </c:pt>
                <c:pt idx="18">
                  <c:v>1.1000532197977648</c:v>
                </c:pt>
              </c:numCache>
            </c:numRef>
          </c:val>
        </c:ser>
        <c:marker val="1"/>
        <c:axId val="138842112"/>
        <c:axId val="138844032"/>
      </c:lineChart>
      <c:catAx>
        <c:axId val="138842112"/>
        <c:scaling>
          <c:orientation val="minMax"/>
        </c:scaling>
        <c:axPos val="b"/>
        <c:numFmt formatCode="General" sourceLinked="1"/>
        <c:tickLblPos val="nextTo"/>
        <c:crossAx val="138844032"/>
        <c:crosses val="autoZero"/>
        <c:auto val="1"/>
        <c:lblAlgn val="ctr"/>
        <c:lblOffset val="100"/>
      </c:catAx>
      <c:valAx>
        <c:axId val="138844032"/>
        <c:scaling>
          <c:orientation val="minMax"/>
        </c:scaling>
        <c:axPos val="l"/>
        <c:numFmt formatCode="0%" sourceLinked="1"/>
        <c:tickLblPos val="nextTo"/>
        <c:crossAx val="138842112"/>
        <c:crosses val="autoZero"/>
        <c:crossBetween val="between"/>
      </c:valAx>
      <c:valAx>
        <c:axId val="173851008"/>
        <c:scaling>
          <c:orientation val="minMax"/>
        </c:scaling>
        <c:axPos val="r"/>
        <c:numFmt formatCode="#,##0" sourceLinked="1"/>
        <c:tickLblPos val="nextTo"/>
        <c:crossAx val="173948928"/>
        <c:crosses val="max"/>
        <c:crossBetween val="between"/>
      </c:valAx>
      <c:catAx>
        <c:axId val="173948928"/>
        <c:scaling>
          <c:orientation val="minMax"/>
        </c:scaling>
        <c:delete val="1"/>
        <c:axPos val="b"/>
        <c:numFmt formatCode="General" sourceLinked="1"/>
        <c:tickLblPos val="none"/>
        <c:crossAx val="173851008"/>
        <c:auto val="1"/>
        <c:lblAlgn val="ctr"/>
        <c:lblOffset val="100"/>
      </c:catAx>
    </c:plotArea>
    <c:legend>
      <c:legendPos val="b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% Fatalities by Driver BAC Level</a:t>
            </a:r>
          </a:p>
        </c:rich>
      </c:tx>
      <c:layout/>
    </c:title>
    <c:plotArea>
      <c:layout/>
      <c:areaChart>
        <c:grouping val="percentStacked"/>
        <c:ser>
          <c:idx val="2"/>
          <c:order val="0"/>
          <c:tx>
            <c:strRef>
              <c:f>Alcohol!$Q$3</c:f>
              <c:strCache>
                <c:ptCount val="1"/>
                <c:pt idx="0">
                  <c:v>Fatalities - BAC=.08+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Alcohol!$Q$4:$Q$22</c:f>
              <c:numCache>
                <c:formatCode>#,##0</c:formatCode>
                <c:ptCount val="19"/>
                <c:pt idx="0">
                  <c:v>13390</c:v>
                </c:pt>
                <c:pt idx="1">
                  <c:v>13478</c:v>
                </c:pt>
                <c:pt idx="2">
                  <c:v>13451</c:v>
                </c:pt>
                <c:pt idx="3">
                  <c:v>12757</c:v>
                </c:pt>
                <c:pt idx="4">
                  <c:v>12546</c:v>
                </c:pt>
                <c:pt idx="5">
                  <c:v>12555</c:v>
                </c:pt>
                <c:pt idx="6">
                  <c:v>13324</c:v>
                </c:pt>
                <c:pt idx="7">
                  <c:v>13290</c:v>
                </c:pt>
                <c:pt idx="8">
                  <c:v>13472</c:v>
                </c:pt>
                <c:pt idx="9">
                  <c:v>13096</c:v>
                </c:pt>
                <c:pt idx="10">
                  <c:v>13099</c:v>
                </c:pt>
                <c:pt idx="11">
                  <c:v>13582</c:v>
                </c:pt>
                <c:pt idx="12">
                  <c:v>13491</c:v>
                </c:pt>
                <c:pt idx="13">
                  <c:v>13041</c:v>
                </c:pt>
                <c:pt idx="14">
                  <c:v>11711</c:v>
                </c:pt>
                <c:pt idx="15">
                  <c:v>10759</c:v>
                </c:pt>
                <c:pt idx="16">
                  <c:v>10136</c:v>
                </c:pt>
                <c:pt idx="17">
                  <c:v>9865</c:v>
                </c:pt>
                <c:pt idx="18">
                  <c:v>10322</c:v>
                </c:pt>
              </c:numCache>
            </c:numRef>
          </c:val>
        </c:ser>
        <c:ser>
          <c:idx val="1"/>
          <c:order val="1"/>
          <c:tx>
            <c:strRef>
              <c:f>Alcohol!$P$3</c:f>
              <c:strCache>
                <c:ptCount val="1"/>
                <c:pt idx="0">
                  <c:v>Fatalities - BAC=.01-.07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Alcohol!$P$4:$P$22</c:f>
              <c:numCache>
                <c:formatCode>#,##0</c:formatCode>
                <c:ptCount val="19"/>
                <c:pt idx="0">
                  <c:v>2236</c:v>
                </c:pt>
                <c:pt idx="1">
                  <c:v>2416</c:v>
                </c:pt>
                <c:pt idx="2">
                  <c:v>2415</c:v>
                </c:pt>
                <c:pt idx="3">
                  <c:v>2216</c:v>
                </c:pt>
                <c:pt idx="4">
                  <c:v>2353</c:v>
                </c:pt>
                <c:pt idx="5">
                  <c:v>2235</c:v>
                </c:pt>
                <c:pt idx="6">
                  <c:v>2422</c:v>
                </c:pt>
                <c:pt idx="7">
                  <c:v>2441</c:v>
                </c:pt>
                <c:pt idx="8">
                  <c:v>2321</c:v>
                </c:pt>
                <c:pt idx="9">
                  <c:v>2327</c:v>
                </c:pt>
                <c:pt idx="10">
                  <c:v>2212</c:v>
                </c:pt>
                <c:pt idx="11">
                  <c:v>2404</c:v>
                </c:pt>
                <c:pt idx="12">
                  <c:v>2479</c:v>
                </c:pt>
                <c:pt idx="13">
                  <c:v>2494</c:v>
                </c:pt>
                <c:pt idx="14">
                  <c:v>2115</c:v>
                </c:pt>
                <c:pt idx="15">
                  <c:v>1972</c:v>
                </c:pt>
                <c:pt idx="16">
                  <c:v>1771</c:v>
                </c:pt>
                <c:pt idx="17">
                  <c:v>1662</c:v>
                </c:pt>
                <c:pt idx="18">
                  <c:v>1719</c:v>
                </c:pt>
              </c:numCache>
            </c:numRef>
          </c:val>
        </c:ser>
        <c:ser>
          <c:idx val="0"/>
          <c:order val="2"/>
          <c:tx>
            <c:strRef>
              <c:f>Alcohol!$O$3</c:f>
              <c:strCache>
                <c:ptCount val="1"/>
                <c:pt idx="0">
                  <c:v>Fatalities - BAC=&lt;.01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Alcohol!$O$4:$O$22</c:f>
              <c:numCache>
                <c:formatCode>#,##0</c:formatCode>
                <c:ptCount val="19"/>
                <c:pt idx="0">
                  <c:v>25090</c:v>
                </c:pt>
                <c:pt idx="1">
                  <c:v>25923</c:v>
                </c:pt>
                <c:pt idx="2">
                  <c:v>26199</c:v>
                </c:pt>
                <c:pt idx="3">
                  <c:v>27040</c:v>
                </c:pt>
                <c:pt idx="4">
                  <c:v>26602</c:v>
                </c:pt>
                <c:pt idx="5">
                  <c:v>26927</c:v>
                </c:pt>
                <c:pt idx="6">
                  <c:v>26199</c:v>
                </c:pt>
                <c:pt idx="7">
                  <c:v>26465</c:v>
                </c:pt>
                <c:pt idx="8">
                  <c:v>27212</c:v>
                </c:pt>
                <c:pt idx="9">
                  <c:v>27461</c:v>
                </c:pt>
                <c:pt idx="10">
                  <c:v>27525</c:v>
                </c:pt>
                <c:pt idx="11">
                  <c:v>27524</c:v>
                </c:pt>
                <c:pt idx="12">
                  <c:v>26738</c:v>
                </c:pt>
                <c:pt idx="13">
                  <c:v>25724</c:v>
                </c:pt>
                <c:pt idx="14">
                  <c:v>23597</c:v>
                </c:pt>
                <c:pt idx="15">
                  <c:v>21152</c:v>
                </c:pt>
                <c:pt idx="16">
                  <c:v>21092</c:v>
                </c:pt>
                <c:pt idx="17">
                  <c:v>20952</c:v>
                </c:pt>
                <c:pt idx="18">
                  <c:v>21520</c:v>
                </c:pt>
              </c:numCache>
            </c:numRef>
          </c:val>
        </c:ser>
        <c:axId val="174173184"/>
        <c:axId val="174192128"/>
      </c:areaChart>
      <c:catAx>
        <c:axId val="174173184"/>
        <c:scaling>
          <c:orientation val="minMax"/>
        </c:scaling>
        <c:axPos val="b"/>
        <c:numFmt formatCode="General" sourceLinked="1"/>
        <c:tickLblPos val="nextTo"/>
        <c:crossAx val="174192128"/>
        <c:crosses val="autoZero"/>
        <c:auto val="1"/>
        <c:lblAlgn val="ctr"/>
        <c:lblOffset val="100"/>
      </c:catAx>
      <c:valAx>
        <c:axId val="174192128"/>
        <c:scaling>
          <c:orientation val="minMax"/>
        </c:scaling>
        <c:axPos val="l"/>
        <c:numFmt formatCode="0%" sourceLinked="1"/>
        <c:tickLblPos val="nextTo"/>
        <c:crossAx val="174173184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% Driver BAC Level</a:t>
            </a:r>
          </a:p>
        </c:rich>
      </c:tx>
      <c:layout/>
    </c:title>
    <c:plotArea>
      <c:layout/>
      <c:areaChart>
        <c:grouping val="percentStacked"/>
        <c:ser>
          <c:idx val="2"/>
          <c:order val="0"/>
          <c:tx>
            <c:strRef>
              <c:f>Alcohol!$M$3</c:f>
              <c:strCache>
                <c:ptCount val="1"/>
                <c:pt idx="0">
                  <c:v>Drivers - BAC=.08+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Alcohol!$M$4:$M$22</c:f>
              <c:numCache>
                <c:formatCode>#,##0</c:formatCode>
                <c:ptCount val="19"/>
                <c:pt idx="0">
                  <c:v>12359.96</c:v>
                </c:pt>
                <c:pt idx="1">
                  <c:v>12152.67</c:v>
                </c:pt>
                <c:pt idx="2">
                  <c:v>12274.5</c:v>
                </c:pt>
                <c:pt idx="3">
                  <c:v>11623.439999999999</c:v>
                </c:pt>
                <c:pt idx="4">
                  <c:v>11198.36</c:v>
                </c:pt>
                <c:pt idx="5">
                  <c:v>11212.960000000001</c:v>
                </c:pt>
                <c:pt idx="6">
                  <c:v>11953.5</c:v>
                </c:pt>
                <c:pt idx="7">
                  <c:v>11995.71</c:v>
                </c:pt>
                <c:pt idx="8">
                  <c:v>12394.130000000001</c:v>
                </c:pt>
                <c:pt idx="9">
                  <c:v>12045.96</c:v>
                </c:pt>
                <c:pt idx="10">
                  <c:v>11986.08</c:v>
                </c:pt>
                <c:pt idx="11">
                  <c:v>12345.35</c:v>
                </c:pt>
                <c:pt idx="12">
                  <c:v>12346.470000000001</c:v>
                </c:pt>
                <c:pt idx="13">
                  <c:v>11696.64</c:v>
                </c:pt>
                <c:pt idx="14">
                  <c:v>10906.76</c:v>
                </c:pt>
                <c:pt idx="15">
                  <c:v>9762.82</c:v>
                </c:pt>
                <c:pt idx="16">
                  <c:v>9477.81</c:v>
                </c:pt>
                <c:pt idx="17">
                  <c:v>9237.42</c:v>
                </c:pt>
                <c:pt idx="18">
                  <c:v>9561.02</c:v>
                </c:pt>
              </c:numCache>
            </c:numRef>
          </c:val>
        </c:ser>
        <c:ser>
          <c:idx val="1"/>
          <c:order val="1"/>
          <c:tx>
            <c:strRef>
              <c:f>Alcohol!$L$3</c:f>
              <c:strCache>
                <c:ptCount val="1"/>
                <c:pt idx="0">
                  <c:v>Drivers - BAC=.01-.07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Alcohol!$L$4:$L$22</c:f>
              <c:numCache>
                <c:formatCode>#,##0</c:formatCode>
                <c:ptCount val="19"/>
                <c:pt idx="0">
                  <c:v>2016.3299999999995</c:v>
                </c:pt>
                <c:pt idx="1">
                  <c:v>2487.27</c:v>
                </c:pt>
                <c:pt idx="2">
                  <c:v>2100.5400000000009</c:v>
                </c:pt>
                <c:pt idx="3">
                  <c:v>2086.7800000000016</c:v>
                </c:pt>
                <c:pt idx="4">
                  <c:v>2493.4699999999993</c:v>
                </c:pt>
                <c:pt idx="5">
                  <c:v>2347.3000000000002</c:v>
                </c:pt>
                <c:pt idx="6">
                  <c:v>2533.4499999999998</c:v>
                </c:pt>
                <c:pt idx="7">
                  <c:v>2393.4300000000012</c:v>
                </c:pt>
                <c:pt idx="8">
                  <c:v>2145.0499999999997</c:v>
                </c:pt>
                <c:pt idx="9">
                  <c:v>2007.6600000000005</c:v>
                </c:pt>
                <c:pt idx="10">
                  <c:v>2151.52</c:v>
                </c:pt>
                <c:pt idx="11">
                  <c:v>2183.0499999999988</c:v>
                </c:pt>
                <c:pt idx="12">
                  <c:v>2553.7399999999998</c:v>
                </c:pt>
                <c:pt idx="13">
                  <c:v>2478.1700000000014</c:v>
                </c:pt>
                <c:pt idx="14">
                  <c:v>1861.2500000000005</c:v>
                </c:pt>
                <c:pt idx="15">
                  <c:v>2000.0200000000004</c:v>
                </c:pt>
                <c:pt idx="16">
                  <c:v>1520.3400000000008</c:v>
                </c:pt>
                <c:pt idx="17">
                  <c:v>1502.0200000000013</c:v>
                </c:pt>
                <c:pt idx="18">
                  <c:v>1555.1399999999992</c:v>
                </c:pt>
              </c:numCache>
            </c:numRef>
          </c:val>
        </c:ser>
        <c:ser>
          <c:idx val="0"/>
          <c:order val="2"/>
          <c:tx>
            <c:strRef>
              <c:f>Alcohol!$K$3</c:f>
              <c:strCache>
                <c:ptCount val="1"/>
                <c:pt idx="0">
                  <c:v>Drivers - BAC=&lt;.01 </c:v>
                </c:pt>
              </c:strCache>
            </c:strRef>
          </c:tx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Alcohol!$K$4:$K$22</c:f>
              <c:numCache>
                <c:formatCode>#,##0</c:formatCode>
                <c:ptCount val="19"/>
                <c:pt idx="0">
                  <c:v>39423.71</c:v>
                </c:pt>
                <c:pt idx="1">
                  <c:v>40779.06</c:v>
                </c:pt>
                <c:pt idx="2">
                  <c:v>41850.959999999999</c:v>
                </c:pt>
                <c:pt idx="3">
                  <c:v>42197.78</c:v>
                </c:pt>
                <c:pt idx="4">
                  <c:v>42213.17</c:v>
                </c:pt>
                <c:pt idx="5">
                  <c:v>42286.74</c:v>
                </c:pt>
                <c:pt idx="6">
                  <c:v>42098.05</c:v>
                </c:pt>
                <c:pt idx="7">
                  <c:v>42430.86</c:v>
                </c:pt>
                <c:pt idx="8">
                  <c:v>42836.82</c:v>
                </c:pt>
                <c:pt idx="9">
                  <c:v>43743.38</c:v>
                </c:pt>
                <c:pt idx="10">
                  <c:v>43496.4</c:v>
                </c:pt>
                <c:pt idx="11">
                  <c:v>43812.6</c:v>
                </c:pt>
                <c:pt idx="12">
                  <c:v>42075.789999999994</c:v>
                </c:pt>
                <c:pt idx="13">
                  <c:v>41062.189999999995</c:v>
                </c:pt>
                <c:pt idx="14">
                  <c:v>36919.99</c:v>
                </c:pt>
                <c:pt idx="15">
                  <c:v>32983.160000000003</c:v>
                </c:pt>
                <c:pt idx="16">
                  <c:v>32939.85</c:v>
                </c:pt>
                <c:pt idx="17">
                  <c:v>32443.559999999998</c:v>
                </c:pt>
                <c:pt idx="18">
                  <c:v>33516.839999999997</c:v>
                </c:pt>
              </c:numCache>
            </c:numRef>
          </c:val>
        </c:ser>
        <c:axId val="178938240"/>
        <c:axId val="178940544"/>
      </c:areaChart>
      <c:catAx>
        <c:axId val="178938240"/>
        <c:scaling>
          <c:orientation val="minMax"/>
        </c:scaling>
        <c:axPos val="b"/>
        <c:numFmt formatCode="General" sourceLinked="1"/>
        <c:tickLblPos val="nextTo"/>
        <c:crossAx val="178940544"/>
        <c:crosses val="autoZero"/>
        <c:auto val="1"/>
        <c:lblAlgn val="ctr"/>
        <c:lblOffset val="100"/>
      </c:catAx>
      <c:valAx>
        <c:axId val="178940544"/>
        <c:scaling>
          <c:orientation val="minMax"/>
        </c:scaling>
        <c:axPos val="l"/>
        <c:numFmt formatCode="0%" sourceLinked="1"/>
        <c:tickLblPos val="nextTo"/>
        <c:crossAx val="178938240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Driver Involved in Fatal Crashes</a:t>
            </a:r>
          </a:p>
        </c:rich>
      </c:tx>
      <c:layout/>
    </c:title>
    <c:plotArea>
      <c:layout/>
      <c:lineChart>
        <c:grouping val="standard"/>
        <c:ser>
          <c:idx val="0"/>
          <c:order val="1"/>
          <c:tx>
            <c:strRef>
              <c:f>Alcohol!$K$3</c:f>
              <c:strCache>
                <c:ptCount val="1"/>
                <c:pt idx="0">
                  <c:v>Drivers - BAC=&lt;.01 </c:v>
                </c:pt>
              </c:strCache>
            </c:strRef>
          </c:tx>
          <c:marker>
            <c:symbol val="none"/>
          </c:marker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Alcohol!$K$4:$K$22</c:f>
              <c:numCache>
                <c:formatCode>#,##0</c:formatCode>
                <c:ptCount val="19"/>
                <c:pt idx="0">
                  <c:v>39423.71</c:v>
                </c:pt>
                <c:pt idx="1">
                  <c:v>40779.06</c:v>
                </c:pt>
                <c:pt idx="2">
                  <c:v>41850.959999999999</c:v>
                </c:pt>
                <c:pt idx="3">
                  <c:v>42197.78</c:v>
                </c:pt>
                <c:pt idx="4">
                  <c:v>42213.17</c:v>
                </c:pt>
                <c:pt idx="5">
                  <c:v>42286.74</c:v>
                </c:pt>
                <c:pt idx="6">
                  <c:v>42098.05</c:v>
                </c:pt>
                <c:pt idx="7">
                  <c:v>42430.86</c:v>
                </c:pt>
                <c:pt idx="8">
                  <c:v>42836.82</c:v>
                </c:pt>
                <c:pt idx="9">
                  <c:v>43743.38</c:v>
                </c:pt>
                <c:pt idx="10">
                  <c:v>43496.4</c:v>
                </c:pt>
                <c:pt idx="11">
                  <c:v>43812.6</c:v>
                </c:pt>
                <c:pt idx="12">
                  <c:v>42075.789999999994</c:v>
                </c:pt>
                <c:pt idx="13">
                  <c:v>41062.189999999995</c:v>
                </c:pt>
                <c:pt idx="14">
                  <c:v>36919.99</c:v>
                </c:pt>
                <c:pt idx="15">
                  <c:v>32983.160000000003</c:v>
                </c:pt>
                <c:pt idx="16">
                  <c:v>32939.85</c:v>
                </c:pt>
                <c:pt idx="17">
                  <c:v>32443.559999999998</c:v>
                </c:pt>
                <c:pt idx="18">
                  <c:v>33516.839999999997</c:v>
                </c:pt>
              </c:numCache>
            </c:numRef>
          </c:val>
        </c:ser>
        <c:marker val="1"/>
        <c:axId val="155075712"/>
        <c:axId val="155077632"/>
      </c:lineChart>
      <c:lineChart>
        <c:grouping val="standard"/>
        <c:ser>
          <c:idx val="2"/>
          <c:order val="0"/>
          <c:tx>
            <c:strRef>
              <c:f>Alcohol!$M$3</c:f>
              <c:strCache>
                <c:ptCount val="1"/>
                <c:pt idx="0">
                  <c:v>Drivers - BAC=.08+ 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Alcohol!$A$4:$A$22</c:f>
              <c:numCache>
                <c:formatCode>General</c:formatCode>
                <c:ptCount val="19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</c:numCache>
            </c:numRef>
          </c:cat>
          <c:val>
            <c:numRef>
              <c:f>Alcohol!$M$4:$M$22</c:f>
              <c:numCache>
                <c:formatCode>#,##0</c:formatCode>
                <c:ptCount val="19"/>
                <c:pt idx="0">
                  <c:v>12359.96</c:v>
                </c:pt>
                <c:pt idx="1">
                  <c:v>12152.67</c:v>
                </c:pt>
                <c:pt idx="2">
                  <c:v>12274.5</c:v>
                </c:pt>
                <c:pt idx="3">
                  <c:v>11623.439999999999</c:v>
                </c:pt>
                <c:pt idx="4">
                  <c:v>11198.36</c:v>
                </c:pt>
                <c:pt idx="5">
                  <c:v>11212.960000000001</c:v>
                </c:pt>
                <c:pt idx="6">
                  <c:v>11953.5</c:v>
                </c:pt>
                <c:pt idx="7">
                  <c:v>11995.71</c:v>
                </c:pt>
                <c:pt idx="8">
                  <c:v>12394.130000000001</c:v>
                </c:pt>
                <c:pt idx="9">
                  <c:v>12045.96</c:v>
                </c:pt>
                <c:pt idx="10">
                  <c:v>11986.08</c:v>
                </c:pt>
                <c:pt idx="11">
                  <c:v>12345.35</c:v>
                </c:pt>
                <c:pt idx="12">
                  <c:v>12346.470000000001</c:v>
                </c:pt>
                <c:pt idx="13">
                  <c:v>11696.64</c:v>
                </c:pt>
                <c:pt idx="14">
                  <c:v>10906.76</c:v>
                </c:pt>
                <c:pt idx="15">
                  <c:v>9762.82</c:v>
                </c:pt>
                <c:pt idx="16">
                  <c:v>9477.81</c:v>
                </c:pt>
                <c:pt idx="17">
                  <c:v>9237.42</c:v>
                </c:pt>
                <c:pt idx="18">
                  <c:v>9561.02</c:v>
                </c:pt>
              </c:numCache>
            </c:numRef>
          </c:val>
        </c:ser>
        <c:marker val="1"/>
        <c:axId val="187819904"/>
        <c:axId val="183963008"/>
      </c:lineChart>
      <c:catAx>
        <c:axId val="155075712"/>
        <c:scaling>
          <c:orientation val="minMax"/>
        </c:scaling>
        <c:axPos val="b"/>
        <c:numFmt formatCode="General" sourceLinked="1"/>
        <c:tickLblPos val="nextTo"/>
        <c:crossAx val="155077632"/>
        <c:crosses val="autoZero"/>
        <c:auto val="1"/>
        <c:lblAlgn val="ctr"/>
        <c:lblOffset val="100"/>
      </c:catAx>
      <c:valAx>
        <c:axId val="155077632"/>
        <c:scaling>
          <c:orientation val="minMax"/>
        </c:scaling>
        <c:axPos val="l"/>
        <c:numFmt formatCode="#,##0" sourceLinked="1"/>
        <c:tickLblPos val="nextTo"/>
        <c:crossAx val="155075712"/>
        <c:crosses val="autoZero"/>
        <c:crossBetween val="between"/>
      </c:valAx>
      <c:valAx>
        <c:axId val="183963008"/>
        <c:scaling>
          <c:orientation val="minMax"/>
        </c:scaling>
        <c:axPos val="r"/>
        <c:numFmt formatCode="#,##0" sourceLinked="1"/>
        <c:tickLblPos val="nextTo"/>
        <c:crossAx val="187819904"/>
        <c:crosses val="max"/>
        <c:crossBetween val="between"/>
      </c:valAx>
      <c:catAx>
        <c:axId val="187819904"/>
        <c:scaling>
          <c:orientation val="minMax"/>
        </c:scaling>
        <c:delete val="1"/>
        <c:axPos val="b"/>
        <c:numFmt formatCode="General" sourceLinked="1"/>
        <c:tickLblPos val="none"/>
        <c:crossAx val="183963008"/>
        <c:auto val="1"/>
        <c:lblAlgn val="ctr"/>
        <c:lblOffset val="100"/>
      </c:catAx>
    </c:plotArea>
    <c:legend>
      <c:legendPos val="b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2</xdr:row>
      <xdr:rowOff>180975</xdr:rowOff>
    </xdr:from>
    <xdr:to>
      <xdr:col>8</xdr:col>
      <xdr:colOff>428625</xdr:colOff>
      <xdr:row>20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2</xdr:row>
      <xdr:rowOff>171450</xdr:rowOff>
    </xdr:from>
    <xdr:to>
      <xdr:col>17</xdr:col>
      <xdr:colOff>457200</xdr:colOff>
      <xdr:row>19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</xdr:row>
      <xdr:rowOff>0</xdr:rowOff>
    </xdr:from>
    <xdr:to>
      <xdr:col>33</xdr:col>
      <xdr:colOff>336177</xdr:colOff>
      <xdr:row>15</xdr:row>
      <xdr:rowOff>156882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336177</xdr:colOff>
      <xdr:row>15</xdr:row>
      <xdr:rowOff>156882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25</xdr:col>
      <xdr:colOff>336177</xdr:colOff>
      <xdr:row>35</xdr:row>
      <xdr:rowOff>156882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dar" refreshedDate="42112.512946759256" createdVersion="3" refreshedVersion="3" minRefreshableVersion="3" recordCount="19">
  <cacheSource type="worksheet">
    <worksheetSource ref="A1:P20" sheet="Data - Summary"/>
  </cacheSource>
  <cacheFields count="16">
    <cacheField name="Year" numFmtId="0">
      <sharedItems containsSemiMixedTypes="0" containsString="0" containsNumber="1" containsInteger="1" minValue="1994" maxValue="2012" count="19"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1998"/>
        <n v="1997"/>
        <n v="1996"/>
        <n v="1995"/>
        <n v="1994"/>
      </sharedItems>
    </cacheField>
    <cacheField name="Fatal Crashes" numFmtId="3">
      <sharedItems containsSemiMixedTypes="0" containsString="0" containsNumber="1" containsInteger="1" minValue="29867" maxValue="39252"/>
    </cacheField>
    <cacheField name="Motorist - Drivers" numFmtId="3">
      <sharedItems containsSemiMixedTypes="0" containsString="0" containsNumber="1" containsInteger="1" minValue="16474" maxValue="23625"/>
    </cacheField>
    <cacheField name="Motorist - Passengers" numFmtId="3">
      <sharedItems containsSemiMixedTypes="0" containsString="0" containsNumber="1" containsInteger="1" minValue="5972" maxValue="10860"/>
    </cacheField>
    <cacheField name="Motorist - Unknown" numFmtId="0">
      <sharedItems containsSemiMixedTypes="0" containsString="0" containsNumber="1" containsInteger="1" minValue="56" maxValue="118"/>
    </cacheField>
    <cacheField name="Nonmotorist - Pedestrians" numFmtId="3">
      <sharedItems containsSemiMixedTypes="0" containsString="0" containsNumber="1" containsInteger="1" minValue="4109" maxValue="5584"/>
    </cacheField>
    <cacheField name="Nonmotorist - Pedalcyclists" numFmtId="0">
      <sharedItems containsSemiMixedTypes="0" containsString="0" containsNumber="1" containsInteger="1" minValue="623" maxValue="833"/>
    </cacheField>
    <cacheField name="Nonmotorist - Other/ Unknown" numFmtId="0">
      <sharedItems containsSemiMixedTypes="0" containsString="0" containsNumber="1" containsInteger="1" minValue="107" maxValue="223"/>
    </cacheField>
    <cacheField name="Vehicle Miles Traveled (Billions)" numFmtId="3">
      <sharedItems containsSemiMixedTypes="0" containsString="0" containsNumber="1" containsInteger="1" minValue="2358" maxValue="3031"/>
    </cacheField>
    <cacheField name="Resident Population (Thousands)" numFmtId="3">
      <sharedItems containsSemiMixedTypes="0" containsString="0" containsNumber="1" containsInteger="1" minValue="260327" maxValue="313914"/>
    </cacheField>
    <cacheField name="Registered Vehicles (Thousands)" numFmtId="3">
      <sharedItems containsSemiMixedTypes="0" containsString="0" containsNumber="1" containsInteger="1" minValue="192497" maxValue="265647"/>
    </cacheField>
    <cacheField name="Licensed Drivers (Thousands)" numFmtId="3">
      <sharedItems containsSemiMixedTypes="0" containsString="0" containsNumber="1" containsInteger="1" minValue="175403" maxValue="211875"/>
    </cacheField>
    <cacheField name="Fatalities per 100 Million Vehicle Miles Traveled" numFmtId="0">
      <sharedItems containsSemiMixedTypes="0" containsString="0" containsNumber="1" minValue="1.1000000000000001" maxValue="1.73"/>
    </cacheField>
    <cacheField name="Fatalities per 100,000 Population" numFmtId="0">
      <sharedItems containsSemiMixedTypes="0" containsString="0" containsNumber="1" minValue="10.42" maxValue="15.91"/>
    </cacheField>
    <cacheField name="Fatalities per 100,000 Registered Vehicles" numFmtId="0">
      <sharedItems containsSemiMixedTypes="0" containsString="0" containsNumber="1" minValue="12.25" maxValue="21.22"/>
    </cacheField>
    <cacheField name="Fatalities per 100,000 Licensed Drivers" numFmtId="0">
      <sharedItems containsSemiMixedTypes="0" containsString="0" containsNumber="1" minValue="15.33" maxValue="23.68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n v="30800"/>
    <n v="16769"/>
    <n v="6061"/>
    <n v="82"/>
    <n v="4743"/>
    <n v="726"/>
    <n v="223"/>
    <n v="2969"/>
    <n v="313914"/>
    <n v="265647"/>
    <n v="211815"/>
    <n v="1.1299999999999999"/>
    <n v="10.69"/>
    <n v="12.63"/>
    <n v="15.84"/>
  </r>
  <r>
    <x v="1"/>
    <n v="29867"/>
    <n v="16474"/>
    <n v="5972"/>
    <n v="64"/>
    <n v="4457"/>
    <n v="682"/>
    <n v="200"/>
    <n v="2950"/>
    <n v="311588"/>
    <n v="265043"/>
    <n v="211875"/>
    <n v="1.1000000000000001"/>
    <n v="10.42"/>
    <n v="12.25"/>
    <n v="15.33"/>
  </r>
  <r>
    <x v="2"/>
    <n v="30296"/>
    <n v="16864"/>
    <n v="6451"/>
    <n v="56"/>
    <n v="4302"/>
    <n v="623"/>
    <n v="185"/>
    <n v="2967"/>
    <n v="309326"/>
    <n v="257312"/>
    <n v="210115"/>
    <n v="1.1100000000000001"/>
    <n v="10.67"/>
    <n v="12.82"/>
    <n v="15.71"/>
  </r>
  <r>
    <x v="3"/>
    <n v="30862"/>
    <n v="17670"/>
    <n v="6793"/>
    <n v="63"/>
    <n v="4109"/>
    <n v="628"/>
    <n v="151"/>
    <n v="2957"/>
    <n v="306772"/>
    <n v="258958"/>
    <n v="209618"/>
    <n v="1.1499999999999999"/>
    <n v="11.05"/>
    <n v="13.08"/>
    <n v="16.16"/>
  </r>
  <r>
    <x v="4"/>
    <n v="34172"/>
    <n v="19279"/>
    <n v="7441"/>
    <n v="71"/>
    <n v="4414"/>
    <n v="718"/>
    <n v="188"/>
    <n v="2977"/>
    <n v="304094"/>
    <n v="259360"/>
    <n v="208321"/>
    <n v="1.26"/>
    <n v="12.31"/>
    <n v="14.43"/>
    <n v="17.96"/>
  </r>
  <r>
    <x v="5"/>
    <n v="37435"/>
    <n v="21717"/>
    <n v="8716"/>
    <n v="94"/>
    <n v="4699"/>
    <n v="701"/>
    <n v="158"/>
    <n v="3031"/>
    <n v="301231"/>
    <n v="257472"/>
    <n v="205742"/>
    <n v="1.36"/>
    <n v="13.7"/>
    <n v="16.02"/>
    <n v="20.05"/>
  </r>
  <r>
    <x v="6"/>
    <n v="38648"/>
    <n v="22831"/>
    <n v="9187"/>
    <n v="101"/>
    <n v="4795"/>
    <n v="772"/>
    <n v="185"/>
    <n v="3014"/>
    <n v="298380"/>
    <n v="252930"/>
    <n v="202810"/>
    <n v="1.42"/>
    <n v="14.31"/>
    <n v="16.989999999999998"/>
    <n v="21.06"/>
  </r>
  <r>
    <x v="7"/>
    <n v="39252"/>
    <n v="23237"/>
    <n v="9750"/>
    <n v="83"/>
    <n v="4892"/>
    <n v="786"/>
    <n v="186"/>
    <n v="2989"/>
    <n v="295517"/>
    <n v="247031"/>
    <n v="200549"/>
    <n v="1.46"/>
    <n v="14.72"/>
    <n v="17.71"/>
    <n v="21.7"/>
  </r>
  <r>
    <x v="8"/>
    <n v="38444"/>
    <n v="23158"/>
    <n v="10042"/>
    <n v="76"/>
    <n v="4675"/>
    <n v="727"/>
    <n v="130"/>
    <n v="2965"/>
    <n v="292805"/>
    <n v="239364"/>
    <n v="198889"/>
    <n v="1.44"/>
    <n v="14.63"/>
    <n v="18"/>
    <n v="21.54"/>
  </r>
  <r>
    <x v="9"/>
    <n v="38477"/>
    <n v="23352"/>
    <n v="10171"/>
    <n v="104"/>
    <n v="4774"/>
    <n v="629"/>
    <n v="140"/>
    <n v="2890"/>
    <n v="290108"/>
    <n v="232326"/>
    <n v="196166"/>
    <n v="1.48"/>
    <n v="14.78"/>
    <n v="18.59"/>
    <n v="21.86"/>
  </r>
  <r>
    <x v="10"/>
    <n v="38491"/>
    <n v="23625"/>
    <n v="10370"/>
    <n v="110"/>
    <n v="4851"/>
    <n v="665"/>
    <n v="114"/>
    <n v="2856"/>
    <n v="287625"/>
    <n v="227136"/>
    <n v="194602"/>
    <n v="1.51"/>
    <n v="14.95"/>
    <n v="19.059999999999999"/>
    <n v="22.1"/>
  </r>
  <r>
    <x v="11"/>
    <n v="37862"/>
    <n v="22914"/>
    <n v="10227"/>
    <n v="102"/>
    <n v="4901"/>
    <n v="732"/>
    <n v="123"/>
    <n v="2796"/>
    <n v="284969"/>
    <n v="221230"/>
    <n v="191276"/>
    <n v="1.51"/>
    <n v="14.81"/>
    <n v="19.07"/>
    <n v="22.06"/>
  </r>
  <r>
    <x v="12"/>
    <n v="37526"/>
    <n v="22914"/>
    <n v="10451"/>
    <n v="86"/>
    <n v="4763"/>
    <n v="693"/>
    <n v="141"/>
    <n v="2747"/>
    <n v="282162"/>
    <n v="217993"/>
    <n v="190625"/>
    <n v="1.53"/>
    <n v="14.87"/>
    <n v="19.329999999999998"/>
    <n v="22"/>
  </r>
  <r>
    <x v="13"/>
    <n v="37140"/>
    <n v="22971"/>
    <n v="10325"/>
    <n v="96"/>
    <n v="4939"/>
    <n v="754"/>
    <n v="149"/>
    <n v="2690"/>
    <n v="272691"/>
    <n v="212685"/>
    <n v="187170"/>
    <n v="1.55"/>
    <n v="15.3"/>
    <n v="19.61"/>
    <n v="22.29"/>
  </r>
  <r>
    <x v="14"/>
    <n v="37107"/>
    <n v="22654"/>
    <n v="10327"/>
    <n v="107"/>
    <n v="5228"/>
    <n v="760"/>
    <n v="131"/>
    <n v="2628"/>
    <n v="270248"/>
    <n v="208076"/>
    <n v="184861"/>
    <n v="1.58"/>
    <n v="15.36"/>
    <n v="19.95"/>
    <n v="22.45"/>
  </r>
  <r>
    <x v="15"/>
    <n v="37324"/>
    <n v="22730"/>
    <n v="10765"/>
    <n v="114"/>
    <n v="5321"/>
    <n v="814"/>
    <n v="153"/>
    <n v="2552"/>
    <n v="267784"/>
    <n v="203568"/>
    <n v="182709"/>
    <n v="1.65"/>
    <n v="15.69"/>
    <n v="20.64"/>
    <n v="22.99"/>
  </r>
  <r>
    <x v="16"/>
    <n v="37494"/>
    <n v="22572"/>
    <n v="10860"/>
    <n v="102"/>
    <n v="5449"/>
    <n v="765"/>
    <n v="154"/>
    <n v="2484"/>
    <n v="265229"/>
    <n v="201631"/>
    <n v="179539"/>
    <n v="1.69"/>
    <n v="15.86"/>
    <n v="20.86"/>
    <n v="23.43"/>
  </r>
  <r>
    <x v="17"/>
    <n v="37241"/>
    <n v="22370"/>
    <n v="10576"/>
    <n v="118"/>
    <n v="5584"/>
    <n v="833"/>
    <n v="109"/>
    <n v="2423"/>
    <n v="262803"/>
    <n v="197065"/>
    <n v="176628"/>
    <n v="1.73"/>
    <n v="15.91"/>
    <n v="21.22"/>
    <n v="23.68"/>
  </r>
  <r>
    <x v="18"/>
    <n v="36254"/>
    <n v="21596"/>
    <n v="10294"/>
    <n v="108"/>
    <n v="5489"/>
    <n v="802"/>
    <n v="107"/>
    <n v="2358"/>
    <n v="260327"/>
    <n v="192497"/>
    <n v="175403"/>
    <n v="1.73"/>
    <n v="15.64"/>
    <n v="21.15"/>
    <n v="23.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 chartFormat="11">
  <location ref="A3:B24" firstHeaderRow="2" firstDataRow="2" firstDataCol="1"/>
  <pivotFields count="16">
    <pivotField axis="axisRow" compact="0" outline="0" showAll="0">
      <items count="20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compact="0" numFmtId="3" outline="0" showAll="0"/>
    <pivotField compact="0" numFmtId="3" outline="0" showAll="0" defaultSubtotal="0"/>
    <pivotField compact="0" numFmtId="3" outline="0" showAll="0" defaultSubtotal="0"/>
    <pivotField compact="0" outline="0" showAll="0" defaultSubtotal="0"/>
    <pivotField compact="0" numFmtId="3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Fatal Crashes" fld="1" baseField="0" baseItem="0"/>
  </dataFields>
  <chartFormats count="2">
    <chartFormat chart="0" format="1" series="1">
      <pivotArea type="data" outline="0" fieldPosition="0"/>
    </chartFormat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24"/>
  <sheetViews>
    <sheetView workbookViewId="0">
      <selection activeCell="C25" sqref="A1:C25"/>
    </sheetView>
  </sheetViews>
  <sheetFormatPr defaultRowHeight="15"/>
  <cols>
    <col min="1" max="1" width="19.42578125" customWidth="1"/>
    <col min="2" max="2" width="7" customWidth="1"/>
    <col min="3" max="3" width="32.42578125" bestFit="1" customWidth="1"/>
  </cols>
  <sheetData>
    <row r="1" spans="1:4">
      <c r="D1" s="4" t="str">
        <f>MID(A3,8,50)</f>
        <v>Fatal Crashes</v>
      </c>
    </row>
    <row r="3" spans="1:4">
      <c r="A3" s="1" t="s">
        <v>19</v>
      </c>
    </row>
    <row r="4" spans="1:4">
      <c r="A4" s="1" t="s">
        <v>15</v>
      </c>
      <c r="B4" t="s">
        <v>1</v>
      </c>
    </row>
    <row r="5" spans="1:4">
      <c r="A5">
        <v>1994</v>
      </c>
      <c r="B5" s="2">
        <v>36254</v>
      </c>
    </row>
    <row r="6" spans="1:4">
      <c r="A6">
        <v>1995</v>
      </c>
      <c r="B6" s="2">
        <v>37241</v>
      </c>
    </row>
    <row r="7" spans="1:4">
      <c r="A7">
        <v>1996</v>
      </c>
      <c r="B7" s="2">
        <v>37494</v>
      </c>
    </row>
    <row r="8" spans="1:4">
      <c r="A8">
        <v>1997</v>
      </c>
      <c r="B8" s="2">
        <v>37324</v>
      </c>
    </row>
    <row r="9" spans="1:4">
      <c r="A9">
        <v>1998</v>
      </c>
      <c r="B9" s="2">
        <v>37107</v>
      </c>
    </row>
    <row r="10" spans="1:4">
      <c r="A10">
        <v>1999</v>
      </c>
      <c r="B10" s="2">
        <v>37140</v>
      </c>
    </row>
    <row r="11" spans="1:4">
      <c r="A11">
        <v>2000</v>
      </c>
      <c r="B11" s="2">
        <v>37526</v>
      </c>
    </row>
    <row r="12" spans="1:4">
      <c r="A12">
        <v>2001</v>
      </c>
      <c r="B12" s="2">
        <v>37862</v>
      </c>
    </row>
    <row r="13" spans="1:4">
      <c r="A13">
        <v>2002</v>
      </c>
      <c r="B13" s="2">
        <v>38491</v>
      </c>
    </row>
    <row r="14" spans="1:4">
      <c r="A14">
        <v>2003</v>
      </c>
      <c r="B14" s="2">
        <v>38477</v>
      </c>
    </row>
    <row r="15" spans="1:4">
      <c r="A15">
        <v>2004</v>
      </c>
      <c r="B15" s="2">
        <v>38444</v>
      </c>
    </row>
    <row r="16" spans="1:4">
      <c r="A16">
        <v>2005</v>
      </c>
      <c r="B16" s="2">
        <v>39252</v>
      </c>
    </row>
    <row r="17" spans="1:2">
      <c r="A17">
        <v>2006</v>
      </c>
      <c r="B17" s="2">
        <v>38648</v>
      </c>
    </row>
    <row r="18" spans="1:2">
      <c r="A18">
        <v>2007</v>
      </c>
      <c r="B18" s="2">
        <v>37435</v>
      </c>
    </row>
    <row r="19" spans="1:2">
      <c r="A19">
        <v>2008</v>
      </c>
      <c r="B19" s="2">
        <v>34172</v>
      </c>
    </row>
    <row r="20" spans="1:2">
      <c r="A20">
        <v>2009</v>
      </c>
      <c r="B20" s="2">
        <v>30862</v>
      </c>
    </row>
    <row r="21" spans="1:2">
      <c r="A21">
        <v>2010</v>
      </c>
      <c r="B21" s="2">
        <v>30296</v>
      </c>
    </row>
    <row r="22" spans="1:2">
      <c r="A22">
        <v>2011</v>
      </c>
      <c r="B22" s="2">
        <v>29867</v>
      </c>
    </row>
    <row r="23" spans="1:2">
      <c r="A23">
        <v>2012</v>
      </c>
      <c r="B23" s="2">
        <v>30800</v>
      </c>
    </row>
    <row r="24" spans="1:2">
      <c r="A24" t="s">
        <v>0</v>
      </c>
      <c r="B24" s="2">
        <v>684692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20"/>
  <sheetViews>
    <sheetView workbookViewId="0">
      <selection activeCell="G14" sqref="G14"/>
    </sheetView>
  </sheetViews>
  <sheetFormatPr defaultRowHeight="15"/>
  <sheetData>
    <row r="1" spans="1:16">
      <c r="A1" t="s">
        <v>15</v>
      </c>
      <c r="B1" t="s">
        <v>2</v>
      </c>
      <c r="C1" t="s">
        <v>16</v>
      </c>
      <c r="D1" t="s">
        <v>17</v>
      </c>
      <c r="E1" t="s">
        <v>18</v>
      </c>
      <c r="F1" t="s">
        <v>12</v>
      </c>
      <c r="G1" t="s">
        <v>13</v>
      </c>
      <c r="H1" t="s">
        <v>14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</row>
    <row r="2" spans="1:16">
      <c r="A2">
        <v>1994</v>
      </c>
      <c r="B2" s="3">
        <v>36254</v>
      </c>
      <c r="C2" s="3">
        <v>21596</v>
      </c>
      <c r="D2" s="3">
        <v>10294</v>
      </c>
      <c r="E2">
        <v>108</v>
      </c>
      <c r="F2" s="3">
        <v>5489</v>
      </c>
      <c r="G2">
        <v>802</v>
      </c>
      <c r="H2">
        <v>107</v>
      </c>
      <c r="I2" s="3">
        <v>2358</v>
      </c>
      <c r="J2" s="3">
        <v>260327</v>
      </c>
      <c r="K2" s="3">
        <v>192497</v>
      </c>
      <c r="L2" s="3">
        <v>175403</v>
      </c>
      <c r="M2">
        <v>1.73</v>
      </c>
      <c r="N2">
        <v>15.64</v>
      </c>
      <c r="O2">
        <v>21.15</v>
      </c>
      <c r="P2">
        <v>23.21</v>
      </c>
    </row>
    <row r="3" spans="1:16">
      <c r="A3">
        <v>1995</v>
      </c>
      <c r="B3" s="3">
        <v>37241</v>
      </c>
      <c r="C3" s="3">
        <v>22370</v>
      </c>
      <c r="D3" s="3">
        <v>10576</v>
      </c>
      <c r="E3">
        <v>118</v>
      </c>
      <c r="F3" s="3">
        <v>5584</v>
      </c>
      <c r="G3">
        <v>833</v>
      </c>
      <c r="H3">
        <v>109</v>
      </c>
      <c r="I3" s="3">
        <v>2423</v>
      </c>
      <c r="J3" s="3">
        <v>262803</v>
      </c>
      <c r="K3" s="3">
        <v>197065</v>
      </c>
      <c r="L3" s="3">
        <v>176628</v>
      </c>
      <c r="M3">
        <v>1.73</v>
      </c>
      <c r="N3">
        <v>15.91</v>
      </c>
      <c r="O3">
        <v>21.22</v>
      </c>
      <c r="P3">
        <v>23.68</v>
      </c>
    </row>
    <row r="4" spans="1:16">
      <c r="A4">
        <v>1996</v>
      </c>
      <c r="B4" s="3">
        <v>37494</v>
      </c>
      <c r="C4" s="3">
        <v>22572</v>
      </c>
      <c r="D4" s="3">
        <v>10860</v>
      </c>
      <c r="E4">
        <v>102</v>
      </c>
      <c r="F4" s="3">
        <v>5449</v>
      </c>
      <c r="G4">
        <v>765</v>
      </c>
      <c r="H4">
        <v>154</v>
      </c>
      <c r="I4" s="3">
        <v>2484</v>
      </c>
      <c r="J4" s="3">
        <v>265229</v>
      </c>
      <c r="K4" s="3">
        <v>201631</v>
      </c>
      <c r="L4" s="3">
        <v>179539</v>
      </c>
      <c r="M4">
        <v>1.69</v>
      </c>
      <c r="N4">
        <v>15.86</v>
      </c>
      <c r="O4">
        <v>20.86</v>
      </c>
      <c r="P4">
        <v>23.43</v>
      </c>
    </row>
    <row r="5" spans="1:16">
      <c r="A5">
        <v>1997</v>
      </c>
      <c r="B5" s="3">
        <v>37324</v>
      </c>
      <c r="C5" s="3">
        <v>22730</v>
      </c>
      <c r="D5" s="3">
        <v>10765</v>
      </c>
      <c r="E5">
        <v>114</v>
      </c>
      <c r="F5" s="3">
        <v>5321</v>
      </c>
      <c r="G5">
        <v>814</v>
      </c>
      <c r="H5">
        <v>153</v>
      </c>
      <c r="I5" s="3">
        <v>2552</v>
      </c>
      <c r="J5" s="3">
        <v>267784</v>
      </c>
      <c r="K5" s="3">
        <v>203568</v>
      </c>
      <c r="L5" s="3">
        <v>182709</v>
      </c>
      <c r="M5">
        <v>1.65</v>
      </c>
      <c r="N5">
        <v>15.69</v>
      </c>
      <c r="O5">
        <v>20.64</v>
      </c>
      <c r="P5">
        <v>22.99</v>
      </c>
    </row>
    <row r="6" spans="1:16">
      <c r="A6">
        <v>1998</v>
      </c>
      <c r="B6" s="3">
        <v>37107</v>
      </c>
      <c r="C6" s="3">
        <v>22654</v>
      </c>
      <c r="D6" s="3">
        <v>10327</v>
      </c>
      <c r="E6">
        <v>107</v>
      </c>
      <c r="F6" s="3">
        <v>5228</v>
      </c>
      <c r="G6">
        <v>760</v>
      </c>
      <c r="H6">
        <v>131</v>
      </c>
      <c r="I6" s="3">
        <v>2628</v>
      </c>
      <c r="J6" s="3">
        <v>270248</v>
      </c>
      <c r="K6" s="3">
        <v>208076</v>
      </c>
      <c r="L6" s="3">
        <v>184861</v>
      </c>
      <c r="M6">
        <v>1.58</v>
      </c>
      <c r="N6">
        <v>15.36</v>
      </c>
      <c r="O6">
        <v>19.95</v>
      </c>
      <c r="P6">
        <v>22.45</v>
      </c>
    </row>
    <row r="7" spans="1:16">
      <c r="A7">
        <v>1999</v>
      </c>
      <c r="B7" s="3">
        <v>37140</v>
      </c>
      <c r="C7" s="3">
        <v>22971</v>
      </c>
      <c r="D7" s="3">
        <v>10325</v>
      </c>
      <c r="E7">
        <v>96</v>
      </c>
      <c r="F7" s="3">
        <v>4939</v>
      </c>
      <c r="G7">
        <v>754</v>
      </c>
      <c r="H7">
        <v>149</v>
      </c>
      <c r="I7" s="3">
        <v>2690</v>
      </c>
      <c r="J7" s="3">
        <v>272691</v>
      </c>
      <c r="K7" s="3">
        <v>212685</v>
      </c>
      <c r="L7" s="3">
        <v>187170</v>
      </c>
      <c r="M7">
        <v>1.55</v>
      </c>
      <c r="N7">
        <v>15.3</v>
      </c>
      <c r="O7">
        <v>19.61</v>
      </c>
      <c r="P7">
        <v>22.29</v>
      </c>
    </row>
    <row r="8" spans="1:16">
      <c r="A8">
        <v>2000</v>
      </c>
      <c r="B8" s="3">
        <v>37526</v>
      </c>
      <c r="C8" s="3">
        <v>22914</v>
      </c>
      <c r="D8" s="3">
        <v>10451</v>
      </c>
      <c r="E8">
        <v>86</v>
      </c>
      <c r="F8" s="3">
        <v>4763</v>
      </c>
      <c r="G8">
        <v>693</v>
      </c>
      <c r="H8">
        <v>141</v>
      </c>
      <c r="I8" s="3">
        <v>2747</v>
      </c>
      <c r="J8" s="3">
        <v>282162</v>
      </c>
      <c r="K8" s="3">
        <v>217993</v>
      </c>
      <c r="L8" s="3">
        <v>190625</v>
      </c>
      <c r="M8">
        <v>1.53</v>
      </c>
      <c r="N8">
        <v>14.87</v>
      </c>
      <c r="O8">
        <v>19.329999999999998</v>
      </c>
      <c r="P8">
        <v>22</v>
      </c>
    </row>
    <row r="9" spans="1:16">
      <c r="A9">
        <v>2001</v>
      </c>
      <c r="B9" s="3">
        <v>37862</v>
      </c>
      <c r="C9" s="3">
        <v>22914</v>
      </c>
      <c r="D9" s="3">
        <v>10227</v>
      </c>
      <c r="E9">
        <v>102</v>
      </c>
      <c r="F9" s="3">
        <v>4901</v>
      </c>
      <c r="G9">
        <v>732</v>
      </c>
      <c r="H9">
        <v>123</v>
      </c>
      <c r="I9" s="3">
        <v>2796</v>
      </c>
      <c r="J9" s="3">
        <v>284969</v>
      </c>
      <c r="K9" s="3">
        <v>221230</v>
      </c>
      <c r="L9" s="3">
        <v>191276</v>
      </c>
      <c r="M9">
        <v>1.51</v>
      </c>
      <c r="N9">
        <v>14.81</v>
      </c>
      <c r="O9">
        <v>19.07</v>
      </c>
      <c r="P9">
        <v>22.06</v>
      </c>
    </row>
    <row r="10" spans="1:16">
      <c r="A10">
        <v>2002</v>
      </c>
      <c r="B10" s="3">
        <v>38491</v>
      </c>
      <c r="C10" s="3">
        <v>23625</v>
      </c>
      <c r="D10" s="3">
        <v>10370</v>
      </c>
      <c r="E10">
        <v>110</v>
      </c>
      <c r="F10" s="3">
        <v>4851</v>
      </c>
      <c r="G10">
        <v>665</v>
      </c>
      <c r="H10">
        <v>114</v>
      </c>
      <c r="I10" s="3">
        <v>2856</v>
      </c>
      <c r="J10" s="3">
        <v>287625</v>
      </c>
      <c r="K10" s="3">
        <v>227136</v>
      </c>
      <c r="L10" s="3">
        <v>194602</v>
      </c>
      <c r="M10">
        <v>1.51</v>
      </c>
      <c r="N10">
        <v>14.95</v>
      </c>
      <c r="O10">
        <v>19.059999999999999</v>
      </c>
      <c r="P10">
        <v>22.1</v>
      </c>
    </row>
    <row r="11" spans="1:16">
      <c r="A11">
        <v>2003</v>
      </c>
      <c r="B11" s="3">
        <v>38477</v>
      </c>
      <c r="C11" s="3">
        <v>23352</v>
      </c>
      <c r="D11" s="3">
        <v>10171</v>
      </c>
      <c r="E11">
        <v>104</v>
      </c>
      <c r="F11" s="3">
        <v>4774</v>
      </c>
      <c r="G11">
        <v>629</v>
      </c>
      <c r="H11">
        <v>140</v>
      </c>
      <c r="I11" s="3">
        <v>2890</v>
      </c>
      <c r="J11" s="3">
        <v>290108</v>
      </c>
      <c r="K11" s="3">
        <v>232326</v>
      </c>
      <c r="L11" s="3">
        <v>196166</v>
      </c>
      <c r="M11">
        <v>1.48</v>
      </c>
      <c r="N11">
        <v>14.78</v>
      </c>
      <c r="O11">
        <v>18.59</v>
      </c>
      <c r="P11">
        <v>21.86</v>
      </c>
    </row>
    <row r="12" spans="1:16">
      <c r="A12">
        <v>2004</v>
      </c>
      <c r="B12" s="3">
        <v>38444</v>
      </c>
      <c r="C12" s="3">
        <v>23158</v>
      </c>
      <c r="D12" s="3">
        <v>10042</v>
      </c>
      <c r="E12">
        <v>76</v>
      </c>
      <c r="F12" s="3">
        <v>4675</v>
      </c>
      <c r="G12">
        <v>727</v>
      </c>
      <c r="H12">
        <v>130</v>
      </c>
      <c r="I12" s="3">
        <v>2965</v>
      </c>
      <c r="J12" s="3">
        <v>292805</v>
      </c>
      <c r="K12" s="3">
        <v>239364</v>
      </c>
      <c r="L12" s="3">
        <v>198889</v>
      </c>
      <c r="M12">
        <v>1.44</v>
      </c>
      <c r="N12">
        <v>14.63</v>
      </c>
      <c r="O12">
        <v>18</v>
      </c>
      <c r="P12">
        <v>21.54</v>
      </c>
    </row>
    <row r="13" spans="1:16">
      <c r="A13">
        <v>2005</v>
      </c>
      <c r="B13" s="3">
        <v>39252</v>
      </c>
      <c r="C13" s="3">
        <v>23237</v>
      </c>
      <c r="D13" s="3">
        <v>9750</v>
      </c>
      <c r="E13">
        <v>83</v>
      </c>
      <c r="F13" s="3">
        <v>4892</v>
      </c>
      <c r="G13">
        <v>786</v>
      </c>
      <c r="H13">
        <v>186</v>
      </c>
      <c r="I13" s="3">
        <v>2989</v>
      </c>
      <c r="J13" s="3">
        <v>295517</v>
      </c>
      <c r="K13" s="3">
        <v>247031</v>
      </c>
      <c r="L13" s="3">
        <v>200549</v>
      </c>
      <c r="M13">
        <v>1.46</v>
      </c>
      <c r="N13">
        <v>14.72</v>
      </c>
      <c r="O13">
        <v>17.71</v>
      </c>
      <c r="P13">
        <v>21.7</v>
      </c>
    </row>
    <row r="14" spans="1:16">
      <c r="A14">
        <v>2006</v>
      </c>
      <c r="B14" s="3">
        <v>38648</v>
      </c>
      <c r="C14" s="3">
        <v>22831</v>
      </c>
      <c r="D14" s="3">
        <v>9187</v>
      </c>
      <c r="E14">
        <v>101</v>
      </c>
      <c r="F14" s="3">
        <v>4795</v>
      </c>
      <c r="G14">
        <v>772</v>
      </c>
      <c r="H14">
        <v>185</v>
      </c>
      <c r="I14" s="3">
        <v>3014</v>
      </c>
      <c r="J14" s="3">
        <v>298380</v>
      </c>
      <c r="K14" s="3">
        <v>252930</v>
      </c>
      <c r="L14" s="3">
        <v>202810</v>
      </c>
      <c r="M14">
        <v>1.42</v>
      </c>
      <c r="N14">
        <v>14.31</v>
      </c>
      <c r="O14">
        <v>16.989999999999998</v>
      </c>
      <c r="P14">
        <v>21.06</v>
      </c>
    </row>
    <row r="15" spans="1:16">
      <c r="A15">
        <v>2007</v>
      </c>
      <c r="B15" s="3">
        <v>37435</v>
      </c>
      <c r="C15" s="3">
        <v>21717</v>
      </c>
      <c r="D15" s="3">
        <v>8716</v>
      </c>
      <c r="E15">
        <v>94</v>
      </c>
      <c r="F15" s="3">
        <v>4699</v>
      </c>
      <c r="G15">
        <v>701</v>
      </c>
      <c r="H15">
        <v>158</v>
      </c>
      <c r="I15" s="3">
        <v>3031</v>
      </c>
      <c r="J15" s="3">
        <v>301231</v>
      </c>
      <c r="K15" s="3">
        <v>257472</v>
      </c>
      <c r="L15" s="3">
        <v>205742</v>
      </c>
      <c r="M15">
        <v>1.36</v>
      </c>
      <c r="N15">
        <v>13.7</v>
      </c>
      <c r="O15">
        <v>16.02</v>
      </c>
      <c r="P15">
        <v>20.05</v>
      </c>
    </row>
    <row r="16" spans="1:16">
      <c r="A16">
        <v>2008</v>
      </c>
      <c r="B16" s="3">
        <v>34172</v>
      </c>
      <c r="C16" s="3">
        <v>19279</v>
      </c>
      <c r="D16" s="3">
        <v>7441</v>
      </c>
      <c r="E16">
        <v>71</v>
      </c>
      <c r="F16" s="3">
        <v>4414</v>
      </c>
      <c r="G16">
        <v>718</v>
      </c>
      <c r="H16">
        <v>188</v>
      </c>
      <c r="I16" s="3">
        <v>2977</v>
      </c>
      <c r="J16" s="3">
        <v>304094</v>
      </c>
      <c r="K16" s="3">
        <v>259360</v>
      </c>
      <c r="L16" s="3">
        <v>208321</v>
      </c>
      <c r="M16">
        <v>1.26</v>
      </c>
      <c r="N16">
        <v>12.31</v>
      </c>
      <c r="O16">
        <v>14.43</v>
      </c>
      <c r="P16">
        <v>17.96</v>
      </c>
    </row>
    <row r="17" spans="1:16">
      <c r="A17">
        <v>2009</v>
      </c>
      <c r="B17" s="3">
        <v>30862</v>
      </c>
      <c r="C17" s="3">
        <v>17670</v>
      </c>
      <c r="D17" s="3">
        <v>6793</v>
      </c>
      <c r="E17">
        <v>63</v>
      </c>
      <c r="F17" s="3">
        <v>4109</v>
      </c>
      <c r="G17">
        <v>628</v>
      </c>
      <c r="H17">
        <v>151</v>
      </c>
      <c r="I17" s="3">
        <v>2957</v>
      </c>
      <c r="J17" s="3">
        <v>306772</v>
      </c>
      <c r="K17" s="3">
        <v>258958</v>
      </c>
      <c r="L17" s="3">
        <v>209618</v>
      </c>
      <c r="M17">
        <v>1.1499999999999999</v>
      </c>
      <c r="N17">
        <v>11.05</v>
      </c>
      <c r="O17">
        <v>13.08</v>
      </c>
      <c r="P17">
        <v>16.16</v>
      </c>
    </row>
    <row r="18" spans="1:16">
      <c r="A18">
        <v>2010</v>
      </c>
      <c r="B18" s="3">
        <v>30296</v>
      </c>
      <c r="C18" s="3">
        <v>16864</v>
      </c>
      <c r="D18" s="3">
        <v>6451</v>
      </c>
      <c r="E18">
        <v>56</v>
      </c>
      <c r="F18" s="3">
        <v>4302</v>
      </c>
      <c r="G18">
        <v>623</v>
      </c>
      <c r="H18">
        <v>185</v>
      </c>
      <c r="I18" s="3">
        <v>2967</v>
      </c>
      <c r="J18" s="3">
        <v>309326</v>
      </c>
      <c r="K18" s="3">
        <v>257312</v>
      </c>
      <c r="L18" s="3">
        <v>210115</v>
      </c>
      <c r="M18">
        <v>1.1100000000000001</v>
      </c>
      <c r="N18">
        <v>10.67</v>
      </c>
      <c r="O18">
        <v>12.82</v>
      </c>
      <c r="P18">
        <v>15.71</v>
      </c>
    </row>
    <row r="19" spans="1:16">
      <c r="A19">
        <v>2011</v>
      </c>
      <c r="B19" s="3">
        <v>29867</v>
      </c>
      <c r="C19" s="3">
        <v>16474</v>
      </c>
      <c r="D19" s="3">
        <v>5972</v>
      </c>
      <c r="E19">
        <v>64</v>
      </c>
      <c r="F19" s="3">
        <v>4457</v>
      </c>
      <c r="G19">
        <v>682</v>
      </c>
      <c r="H19">
        <v>200</v>
      </c>
      <c r="I19" s="3">
        <v>2950</v>
      </c>
      <c r="J19" s="3">
        <v>311588</v>
      </c>
      <c r="K19" s="3">
        <v>265043</v>
      </c>
      <c r="L19" s="3">
        <v>211875</v>
      </c>
      <c r="M19">
        <v>1.1000000000000001</v>
      </c>
      <c r="N19">
        <v>10.42</v>
      </c>
      <c r="O19">
        <v>12.25</v>
      </c>
      <c r="P19">
        <v>15.33</v>
      </c>
    </row>
    <row r="20" spans="1:16">
      <c r="A20">
        <v>2012</v>
      </c>
      <c r="B20" s="3">
        <v>30800</v>
      </c>
      <c r="C20" s="3">
        <v>16769</v>
      </c>
      <c r="D20" s="3">
        <v>6061</v>
      </c>
      <c r="E20">
        <v>82</v>
      </c>
      <c r="F20" s="3">
        <v>4743</v>
      </c>
      <c r="G20">
        <v>726</v>
      </c>
      <c r="H20">
        <v>223</v>
      </c>
      <c r="I20" s="3">
        <v>2969</v>
      </c>
      <c r="J20" s="3">
        <v>313914</v>
      </c>
      <c r="K20" s="3">
        <v>265647</v>
      </c>
      <c r="L20" s="3">
        <v>211815</v>
      </c>
      <c r="M20">
        <v>1.1299999999999999</v>
      </c>
      <c r="N20">
        <v>10.69</v>
      </c>
      <c r="O20">
        <v>12.63</v>
      </c>
      <c r="P20">
        <v>15.84</v>
      </c>
    </row>
  </sheetData>
  <sortState ref="A2:P20">
    <sortCondition ref="A2:A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2:J21"/>
  <sheetViews>
    <sheetView topLeftCell="D1" workbookViewId="0">
      <selection activeCell="E3" sqref="E3:G3"/>
    </sheetView>
  </sheetViews>
  <sheetFormatPr defaultRowHeight="15"/>
  <cols>
    <col min="2" max="10" width="13.5703125" customWidth="1"/>
  </cols>
  <sheetData>
    <row r="2" spans="1:10" s="7" customFormat="1" ht="45">
      <c r="A2" s="7" t="s">
        <v>20</v>
      </c>
      <c r="B2" s="7" t="s">
        <v>21</v>
      </c>
      <c r="C2" s="7" t="s">
        <v>22</v>
      </c>
      <c r="D2" s="7" t="s">
        <v>23</v>
      </c>
      <c r="E2" s="7" t="s">
        <v>24</v>
      </c>
      <c r="F2" s="7" t="s">
        <v>25</v>
      </c>
      <c r="G2" s="7" t="s">
        <v>26</v>
      </c>
      <c r="H2" s="8" t="s">
        <v>27</v>
      </c>
      <c r="I2" s="8" t="s">
        <v>28</v>
      </c>
      <c r="J2" s="8" t="s">
        <v>29</v>
      </c>
    </row>
    <row r="3" spans="1:10">
      <c r="A3">
        <v>1994</v>
      </c>
      <c r="B3" s="3">
        <v>22763</v>
      </c>
      <c r="C3" s="3">
        <v>18946</v>
      </c>
      <c r="D3" s="3">
        <v>4629</v>
      </c>
      <c r="E3" s="3">
        <v>9642</v>
      </c>
      <c r="F3" s="3">
        <v>18636</v>
      </c>
      <c r="G3" s="3">
        <v>2623</v>
      </c>
      <c r="H3" s="6">
        <f>E3/B3</f>
        <v>0.42358212889337959</v>
      </c>
      <c r="I3" s="6">
        <f>F3/C3</f>
        <v>0.98363770716773991</v>
      </c>
      <c r="J3" s="6">
        <f>G3/D3</f>
        <v>0.56664506372866708</v>
      </c>
    </row>
    <row r="4" spans="1:10">
      <c r="A4">
        <v>1995</v>
      </c>
      <c r="B4" s="3">
        <v>24166</v>
      </c>
      <c r="C4" s="3">
        <v>19427</v>
      </c>
      <c r="D4" s="3">
        <v>4663</v>
      </c>
      <c r="E4" s="3">
        <v>10159</v>
      </c>
      <c r="F4" s="3">
        <v>19123</v>
      </c>
      <c r="G4" s="3">
        <v>2709</v>
      </c>
      <c r="H4" s="6">
        <f t="shared" ref="H4:H21" si="0">E4/B4</f>
        <v>0.4203840105933957</v>
      </c>
      <c r="I4" s="6">
        <f>F4/C4</f>
        <v>0.98435167550316571</v>
      </c>
      <c r="J4" s="6">
        <f>G4/D4</f>
        <v>0.58095646579455285</v>
      </c>
    </row>
    <row r="5" spans="1:10">
      <c r="A5">
        <v>1996</v>
      </c>
      <c r="B5" s="3">
        <v>25207</v>
      </c>
      <c r="C5" s="3">
        <v>18759</v>
      </c>
      <c r="D5" s="3">
        <v>4747</v>
      </c>
      <c r="E5" s="3">
        <v>10716</v>
      </c>
      <c r="F5" s="3">
        <v>18848</v>
      </c>
      <c r="G5" s="3">
        <v>2873</v>
      </c>
      <c r="H5" s="6">
        <f t="shared" si="0"/>
        <v>0.42512000634744318</v>
      </c>
      <c r="I5" s="6">
        <f>F5/C5</f>
        <v>1.0047443893597741</v>
      </c>
      <c r="J5" s="6">
        <f>G5/D5</f>
        <v>0.6052243522224563</v>
      </c>
    </row>
    <row r="6" spans="1:10">
      <c r="A6">
        <v>1997</v>
      </c>
      <c r="B6" s="3">
        <v>25313</v>
      </c>
      <c r="C6" s="3">
        <v>18286</v>
      </c>
      <c r="D6" s="3">
        <v>4799</v>
      </c>
      <c r="E6" s="3">
        <v>10995</v>
      </c>
      <c r="F6" s="3">
        <v>18642</v>
      </c>
      <c r="G6" s="3">
        <v>2811</v>
      </c>
      <c r="H6" s="6">
        <f t="shared" si="0"/>
        <v>0.43436179038438749</v>
      </c>
      <c r="I6" s="6">
        <f>F6/C6</f>
        <v>1.0194684458055343</v>
      </c>
      <c r="J6" s="6">
        <f>G6/D6</f>
        <v>0.58574703063138156</v>
      </c>
    </row>
    <row r="7" spans="1:10">
      <c r="A7">
        <v>1998</v>
      </c>
      <c r="B7" s="3">
        <v>25854</v>
      </c>
      <c r="C7" s="3">
        <v>17601</v>
      </c>
      <c r="D7" s="3">
        <v>4699</v>
      </c>
      <c r="E7" s="3">
        <v>11213</v>
      </c>
      <c r="F7" s="3">
        <v>18022</v>
      </c>
      <c r="G7" s="3">
        <v>2664</v>
      </c>
      <c r="H7" s="6">
        <f t="shared" si="0"/>
        <v>0.43370464918387869</v>
      </c>
      <c r="I7" s="6">
        <f>F7/C7</f>
        <v>1.0239190955059372</v>
      </c>
      <c r="J7" s="6">
        <f>G7/D7</f>
        <v>0.56692913385826771</v>
      </c>
    </row>
    <row r="8" spans="1:10">
      <c r="A8">
        <v>1999</v>
      </c>
      <c r="B8" s="3">
        <v>25498</v>
      </c>
      <c r="C8" s="3">
        <v>17693</v>
      </c>
      <c r="D8" s="3">
        <v>4552</v>
      </c>
      <c r="E8" s="3">
        <v>11174</v>
      </c>
      <c r="F8" s="3">
        <v>18316</v>
      </c>
      <c r="G8" s="3">
        <v>2637</v>
      </c>
      <c r="H8" s="6">
        <f t="shared" si="0"/>
        <v>0.43823044944701545</v>
      </c>
      <c r="I8" s="6">
        <f>F8/C8</f>
        <v>1.0352116656304753</v>
      </c>
      <c r="J8" s="6">
        <f>G8/D8</f>
        <v>0.57930579964850615</v>
      </c>
    </row>
    <row r="9" spans="1:10">
      <c r="A9">
        <v>2000</v>
      </c>
      <c r="B9" s="3">
        <v>26690</v>
      </c>
      <c r="C9" s="3">
        <v>16995</v>
      </c>
      <c r="D9" s="3">
        <v>4369</v>
      </c>
      <c r="E9" s="3">
        <v>11787</v>
      </c>
      <c r="F9" s="3">
        <v>17810</v>
      </c>
      <c r="G9" s="3">
        <v>2628</v>
      </c>
      <c r="H9" s="6">
        <f t="shared" si="0"/>
        <v>0.44162607718246533</v>
      </c>
      <c r="I9" s="6">
        <f>F9/C9</f>
        <v>1.0479552809649897</v>
      </c>
      <c r="J9" s="6">
        <f>G9/D9</f>
        <v>0.60151064316777292</v>
      </c>
    </row>
    <row r="10" spans="1:10">
      <c r="A10">
        <v>2001</v>
      </c>
      <c r="B10" s="3">
        <v>27222</v>
      </c>
      <c r="C10" s="3">
        <v>16528</v>
      </c>
      <c r="D10" s="3">
        <v>4398</v>
      </c>
      <c r="E10" s="3">
        <v>11946</v>
      </c>
      <c r="F10" s="3">
        <v>17517</v>
      </c>
      <c r="G10" s="3">
        <v>2580</v>
      </c>
      <c r="H10" s="6">
        <f t="shared" si="0"/>
        <v>0.43883623539784</v>
      </c>
      <c r="I10" s="6">
        <f>F10/C10</f>
        <v>1.0598378509196515</v>
      </c>
      <c r="J10" s="6">
        <f>G10/D10</f>
        <v>0.58663028649386084</v>
      </c>
    </row>
    <row r="11" spans="1:10">
      <c r="A11">
        <v>2002</v>
      </c>
      <c r="B11" s="3">
        <v>27813</v>
      </c>
      <c r="C11" s="3">
        <v>16710</v>
      </c>
      <c r="D11" s="3">
        <v>4275</v>
      </c>
      <c r="E11" s="3">
        <v>12533</v>
      </c>
      <c r="F11" s="3">
        <v>17797</v>
      </c>
      <c r="G11" s="3">
        <v>2513</v>
      </c>
      <c r="H11" s="6">
        <f t="shared" si="0"/>
        <v>0.45061661812821341</v>
      </c>
      <c r="I11" s="6">
        <f>F11/C11</f>
        <v>1.0650508677438659</v>
      </c>
      <c r="J11" s="6">
        <f>G11/D11</f>
        <v>0.58783625730994149</v>
      </c>
    </row>
    <row r="12" spans="1:10">
      <c r="A12">
        <v>2003</v>
      </c>
      <c r="B12" s="3">
        <v>28822</v>
      </c>
      <c r="C12" s="3">
        <v>15491</v>
      </c>
      <c r="D12" s="3">
        <v>4281</v>
      </c>
      <c r="E12" s="3">
        <v>12967</v>
      </c>
      <c r="F12" s="3">
        <v>16764</v>
      </c>
      <c r="G12" s="3">
        <v>2540</v>
      </c>
      <c r="H12" s="6">
        <f t="shared" si="0"/>
        <v>0.44989938241620986</v>
      </c>
      <c r="I12" s="6">
        <f>F12/C12</f>
        <v>1.0821767477890387</v>
      </c>
      <c r="J12" s="6">
        <f>G12/D12</f>
        <v>0.59331931791637471</v>
      </c>
    </row>
    <row r="13" spans="1:10">
      <c r="A13">
        <v>2004</v>
      </c>
      <c r="B13" s="3">
        <v>29072</v>
      </c>
      <c r="C13" s="3">
        <v>15120</v>
      </c>
      <c r="D13" s="3">
        <v>3743</v>
      </c>
      <c r="E13" s="3">
        <v>13250</v>
      </c>
      <c r="F13" s="3">
        <v>16432</v>
      </c>
      <c r="G13" s="3">
        <v>2184</v>
      </c>
      <c r="H13" s="6">
        <f t="shared" si="0"/>
        <v>0.45576499724821135</v>
      </c>
      <c r="I13" s="6">
        <f>F13/C13</f>
        <v>1.0867724867724868</v>
      </c>
      <c r="J13" s="6">
        <f>G13/D13</f>
        <v>0.58348917980229764</v>
      </c>
    </row>
    <row r="14" spans="1:10">
      <c r="A14">
        <v>2005</v>
      </c>
      <c r="B14" s="3">
        <v>29264</v>
      </c>
      <c r="C14" s="3">
        <v>14984</v>
      </c>
      <c r="D14" s="3">
        <v>3677</v>
      </c>
      <c r="E14" s="3">
        <v>13064</v>
      </c>
      <c r="F14" s="3">
        <v>16247</v>
      </c>
      <c r="G14" s="3">
        <v>2238</v>
      </c>
      <c r="H14" s="6">
        <f t="shared" si="0"/>
        <v>0.44641880809185347</v>
      </c>
      <c r="I14" s="6">
        <f>F14/C14</f>
        <v>1.084289909236519</v>
      </c>
      <c r="J14" s="6">
        <f>G14/D14</f>
        <v>0.60864835463693223</v>
      </c>
    </row>
    <row r="15" spans="1:10">
      <c r="A15">
        <v>2006</v>
      </c>
      <c r="B15" s="3">
        <v>28285</v>
      </c>
      <c r="C15" s="3">
        <v>14434</v>
      </c>
      <c r="D15" s="3">
        <v>3750</v>
      </c>
      <c r="E15" s="3">
        <v>12710</v>
      </c>
      <c r="F15" s="3">
        <v>15635</v>
      </c>
      <c r="G15" s="3">
        <v>2341</v>
      </c>
      <c r="H15" s="6">
        <f t="shared" si="0"/>
        <v>0.44935478168640625</v>
      </c>
      <c r="I15" s="6">
        <f>F15/C15</f>
        <v>1.0832063184148537</v>
      </c>
      <c r="J15" s="6">
        <f>G15/D15</f>
        <v>0.62426666666666664</v>
      </c>
    </row>
    <row r="16" spans="1:10">
      <c r="A16">
        <v>2007</v>
      </c>
      <c r="B16" s="3">
        <v>27622</v>
      </c>
      <c r="C16" s="3">
        <v>13215</v>
      </c>
      <c r="D16" s="3">
        <v>3647</v>
      </c>
      <c r="E16" s="3">
        <v>12322</v>
      </c>
      <c r="F16" s="3">
        <v>14446</v>
      </c>
      <c r="G16" s="3">
        <v>2304</v>
      </c>
      <c r="H16" s="6">
        <f t="shared" si="0"/>
        <v>0.446093693432771</v>
      </c>
      <c r="I16" s="6">
        <f>F16/C16</f>
        <v>1.093151721528566</v>
      </c>
      <c r="J16" s="6">
        <f>G16/D16</f>
        <v>0.63175212503427469</v>
      </c>
    </row>
    <row r="17" spans="1:10">
      <c r="A17">
        <v>2008</v>
      </c>
      <c r="B17" s="3">
        <v>24649</v>
      </c>
      <c r="C17" s="3">
        <v>11770</v>
      </c>
      <c r="D17" s="3">
        <v>3055</v>
      </c>
      <c r="E17" s="3">
        <v>10691</v>
      </c>
      <c r="F17" s="3">
        <v>12925</v>
      </c>
      <c r="G17" s="3">
        <v>1846</v>
      </c>
      <c r="H17" s="6">
        <f t="shared" si="0"/>
        <v>0.43372956306543875</v>
      </c>
      <c r="I17" s="6">
        <f>F17/C17</f>
        <v>1.0981308411214954</v>
      </c>
      <c r="J17" s="6">
        <f>G17/D17</f>
        <v>0.60425531914893615</v>
      </c>
    </row>
    <row r="18" spans="1:10">
      <c r="A18">
        <v>2009</v>
      </c>
      <c r="B18" s="3">
        <v>22963</v>
      </c>
      <c r="C18" s="3">
        <v>10486</v>
      </c>
      <c r="D18" s="3">
        <v>2773</v>
      </c>
      <c r="E18" s="3">
        <v>10190</v>
      </c>
      <c r="F18" s="3">
        <v>11545</v>
      </c>
      <c r="G18" s="3">
        <v>1712</v>
      </c>
      <c r="H18" s="6">
        <f t="shared" si="0"/>
        <v>0.44375734877846973</v>
      </c>
      <c r="I18" s="6">
        <f>F18/C18</f>
        <v>1.1009917985885944</v>
      </c>
      <c r="J18" s="6">
        <f>G18/D18</f>
        <v>0.6173818968626037</v>
      </c>
    </row>
    <row r="19" spans="1:10">
      <c r="A19">
        <v>2010</v>
      </c>
      <c r="B19" s="3">
        <v>22712</v>
      </c>
      <c r="C19" s="3">
        <v>9598</v>
      </c>
      <c r="D19" s="3">
        <v>2785</v>
      </c>
      <c r="E19" s="3">
        <v>9969</v>
      </c>
      <c r="F19" s="3">
        <v>10590</v>
      </c>
      <c r="G19" s="3">
        <v>1714</v>
      </c>
      <c r="H19" s="6">
        <f t="shared" si="0"/>
        <v>0.43893096160619938</v>
      </c>
      <c r="I19" s="6">
        <f>F19/C19</f>
        <v>1.1033548655969994</v>
      </c>
      <c r="J19" s="6">
        <f>G19/D19</f>
        <v>0.61543985637342913</v>
      </c>
    </row>
    <row r="20" spans="1:10">
      <c r="A20">
        <v>2011</v>
      </c>
      <c r="B20" s="3">
        <v>22183</v>
      </c>
      <c r="C20" s="3">
        <v>9321</v>
      </c>
      <c r="D20" s="3">
        <v>2603</v>
      </c>
      <c r="E20" s="3">
        <v>9471</v>
      </c>
      <c r="F20" s="3">
        <v>10215</v>
      </c>
      <c r="G20" s="3">
        <v>1630</v>
      </c>
      <c r="H20" s="6">
        <f t="shared" si="0"/>
        <v>0.42694856421584099</v>
      </c>
      <c r="I20" s="6">
        <f>F20/C20</f>
        <v>1.0959124557450917</v>
      </c>
      <c r="J20" s="6">
        <f>G20/D20</f>
        <v>0.62620053784095275</v>
      </c>
    </row>
    <row r="21" spans="1:10">
      <c r="A21">
        <v>2012</v>
      </c>
      <c r="B21" s="3">
        <v>22983</v>
      </c>
      <c r="C21" s="3">
        <v>9395</v>
      </c>
      <c r="D21" s="3">
        <v>2745</v>
      </c>
      <c r="E21" s="3">
        <v>9679</v>
      </c>
      <c r="F21" s="3">
        <v>10335</v>
      </c>
      <c r="G21" s="3">
        <v>1653</v>
      </c>
      <c r="H21" s="6">
        <f t="shared" si="0"/>
        <v>0.42113736239829441</v>
      </c>
      <c r="I21" s="6">
        <f>F21/C21</f>
        <v>1.1000532197977648</v>
      </c>
      <c r="J21" s="6">
        <f>G21/D21</f>
        <v>0.6021857923497268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22"/>
  <sheetViews>
    <sheetView tabSelected="1" topLeftCell="G11" zoomScale="85" zoomScaleNormal="85" workbookViewId="0">
      <selection activeCell="AB21" sqref="AB21"/>
    </sheetView>
  </sheetViews>
  <sheetFormatPr defaultRowHeight="15"/>
  <sheetData>
    <row r="1" spans="1:17">
      <c r="A1" t="s">
        <v>30</v>
      </c>
    </row>
    <row r="3" spans="1:17" ht="60">
      <c r="A3" s="7" t="s">
        <v>20</v>
      </c>
      <c r="B3" s="7" t="s">
        <v>31</v>
      </c>
      <c r="C3" s="7" t="s">
        <v>34</v>
      </c>
      <c r="D3" s="7" t="s">
        <v>33</v>
      </c>
      <c r="E3" s="7" t="s">
        <v>32</v>
      </c>
      <c r="F3" s="7" t="s">
        <v>38</v>
      </c>
      <c r="G3" s="7" t="s">
        <v>35</v>
      </c>
      <c r="H3" s="7" t="s">
        <v>36</v>
      </c>
      <c r="I3" s="7" t="s">
        <v>37</v>
      </c>
      <c r="J3" s="8" t="s">
        <v>3</v>
      </c>
      <c r="K3" s="8" t="s">
        <v>39</v>
      </c>
      <c r="L3" s="8" t="s">
        <v>40</v>
      </c>
      <c r="M3" s="8" t="s">
        <v>41</v>
      </c>
      <c r="N3" s="9" t="s">
        <v>42</v>
      </c>
      <c r="O3" s="8" t="s">
        <v>43</v>
      </c>
      <c r="P3" s="9" t="s">
        <v>44</v>
      </c>
      <c r="Q3" s="9" t="s">
        <v>45</v>
      </c>
    </row>
    <row r="4" spans="1:17">
      <c r="A4">
        <v>1994</v>
      </c>
      <c r="B4" s="3">
        <v>40233</v>
      </c>
      <c r="C4" s="3">
        <v>28163.1</v>
      </c>
      <c r="D4" s="3">
        <v>1609.3199999999997</v>
      </c>
      <c r="E4" s="3">
        <v>10460.58</v>
      </c>
      <c r="F4" s="3">
        <v>13567</v>
      </c>
      <c r="G4" s="3">
        <v>11260.61</v>
      </c>
      <c r="H4" s="3">
        <v>407.00999999999976</v>
      </c>
      <c r="I4" s="3">
        <v>1899.38</v>
      </c>
      <c r="J4" s="5">
        <f>B4+F4</f>
        <v>53800</v>
      </c>
      <c r="K4" s="5">
        <f t="shared" ref="K4:M4" si="0">C4+G4</f>
        <v>39423.71</v>
      </c>
      <c r="L4" s="5">
        <f t="shared" si="0"/>
        <v>2016.3299999999995</v>
      </c>
      <c r="M4" s="5">
        <f t="shared" si="0"/>
        <v>12359.96</v>
      </c>
      <c r="N4" s="3">
        <v>40716</v>
      </c>
      <c r="O4" s="5">
        <f>N4-P4-Q4</f>
        <v>25090</v>
      </c>
      <c r="P4" s="3">
        <v>2236</v>
      </c>
      <c r="Q4" s="3">
        <v>13390</v>
      </c>
    </row>
    <row r="5" spans="1:17">
      <c r="A5">
        <v>1995</v>
      </c>
      <c r="B5" s="3">
        <v>41235</v>
      </c>
      <c r="C5" s="3">
        <v>28864.5</v>
      </c>
      <c r="D5" s="3">
        <v>2061.75</v>
      </c>
      <c r="E5" s="3">
        <v>10308.75</v>
      </c>
      <c r="F5" s="3">
        <v>14184</v>
      </c>
      <c r="G5" s="3">
        <v>11914.56</v>
      </c>
      <c r="H5" s="3">
        <v>425.52</v>
      </c>
      <c r="I5" s="3">
        <v>1843.92</v>
      </c>
      <c r="J5" s="5">
        <f t="shared" ref="J5:J22" si="1">B5+F5</f>
        <v>55419</v>
      </c>
      <c r="K5" s="5">
        <f t="shared" ref="K5:K22" si="2">C5+G5</f>
        <v>40779.06</v>
      </c>
      <c r="L5" s="5">
        <f t="shared" ref="L5:L22" si="3">D5+H5</f>
        <v>2487.27</v>
      </c>
      <c r="M5" s="5">
        <f t="shared" ref="M5:M22" si="4">E5+I5</f>
        <v>12152.67</v>
      </c>
      <c r="N5" s="3">
        <v>41817</v>
      </c>
      <c r="O5" s="5">
        <f t="shared" ref="O5:O22" si="5">N5-P5-Q5</f>
        <v>25923</v>
      </c>
      <c r="P5" s="3">
        <v>2416</v>
      </c>
      <c r="Q5" s="3">
        <v>13478</v>
      </c>
    </row>
    <row r="6" spans="1:17">
      <c r="A6">
        <v>1996</v>
      </c>
      <c r="B6" s="3">
        <v>41376</v>
      </c>
      <c r="C6" s="3">
        <v>29376.959999999999</v>
      </c>
      <c r="D6" s="3">
        <v>1655.0400000000009</v>
      </c>
      <c r="E6" s="3">
        <v>10344</v>
      </c>
      <c r="F6" s="3">
        <v>14850</v>
      </c>
      <c r="G6" s="3">
        <v>12474</v>
      </c>
      <c r="H6" s="3">
        <v>445.5</v>
      </c>
      <c r="I6" s="3">
        <v>1930.5</v>
      </c>
      <c r="J6" s="5">
        <f t="shared" si="1"/>
        <v>56226</v>
      </c>
      <c r="K6" s="5">
        <f t="shared" si="2"/>
        <v>41850.959999999999</v>
      </c>
      <c r="L6" s="5">
        <f t="shared" si="3"/>
        <v>2100.5400000000009</v>
      </c>
      <c r="M6" s="5">
        <f t="shared" si="4"/>
        <v>12274.5</v>
      </c>
      <c r="N6" s="3">
        <v>42065</v>
      </c>
      <c r="O6" s="5">
        <f t="shared" si="5"/>
        <v>26199</v>
      </c>
      <c r="P6" s="3">
        <v>2415</v>
      </c>
      <c r="Q6" s="3">
        <v>13451</v>
      </c>
    </row>
    <row r="7" spans="1:17">
      <c r="A7">
        <v>1997</v>
      </c>
      <c r="B7" s="3">
        <v>40954</v>
      </c>
      <c r="C7" s="3">
        <v>29486.879999999997</v>
      </c>
      <c r="D7" s="3">
        <v>1638.1600000000017</v>
      </c>
      <c r="E7" s="3">
        <v>9828.9599999999991</v>
      </c>
      <c r="F7" s="3">
        <v>14954</v>
      </c>
      <c r="G7" s="3">
        <v>12710.900000000001</v>
      </c>
      <c r="H7" s="3">
        <v>448.61999999999989</v>
      </c>
      <c r="I7" s="3">
        <v>1794.48</v>
      </c>
      <c r="J7" s="5">
        <f t="shared" si="1"/>
        <v>55908</v>
      </c>
      <c r="K7" s="5">
        <f t="shared" si="2"/>
        <v>42197.78</v>
      </c>
      <c r="L7" s="5">
        <f t="shared" si="3"/>
        <v>2086.7800000000016</v>
      </c>
      <c r="M7" s="5">
        <f t="shared" si="4"/>
        <v>11623.439999999999</v>
      </c>
      <c r="N7" s="3">
        <v>42013</v>
      </c>
      <c r="O7" s="5">
        <f t="shared" si="5"/>
        <v>27040</v>
      </c>
      <c r="P7" s="3">
        <v>2216</v>
      </c>
      <c r="Q7" s="3">
        <v>12757</v>
      </c>
    </row>
    <row r="8" spans="1:17">
      <c r="A8">
        <v>1998</v>
      </c>
      <c r="B8" s="3">
        <v>40816</v>
      </c>
      <c r="C8" s="3">
        <v>29387.519999999997</v>
      </c>
      <c r="D8" s="3">
        <v>2040.7999999999993</v>
      </c>
      <c r="E8" s="3">
        <v>9387.68</v>
      </c>
      <c r="F8" s="3">
        <v>15089</v>
      </c>
      <c r="G8" s="3">
        <v>12825.65</v>
      </c>
      <c r="H8" s="3">
        <v>452.66999999999985</v>
      </c>
      <c r="I8" s="3">
        <v>1810.68</v>
      </c>
      <c r="J8" s="5">
        <f t="shared" si="1"/>
        <v>55905</v>
      </c>
      <c r="K8" s="5">
        <f t="shared" si="2"/>
        <v>42213.17</v>
      </c>
      <c r="L8" s="5">
        <f t="shared" si="3"/>
        <v>2493.4699999999993</v>
      </c>
      <c r="M8" s="5">
        <f t="shared" si="4"/>
        <v>11198.36</v>
      </c>
      <c r="N8" s="3">
        <v>41501</v>
      </c>
      <c r="O8" s="5">
        <f t="shared" si="5"/>
        <v>26602</v>
      </c>
      <c r="P8" s="3">
        <v>2353</v>
      </c>
      <c r="Q8" s="3">
        <v>12546</v>
      </c>
    </row>
    <row r="9" spans="1:17">
      <c r="A9">
        <v>1999</v>
      </c>
      <c r="B9" s="3">
        <v>41012</v>
      </c>
      <c r="C9" s="3">
        <v>29528.639999999999</v>
      </c>
      <c r="D9" s="3">
        <v>2050.6000000000004</v>
      </c>
      <c r="E9" s="3">
        <v>9432.76</v>
      </c>
      <c r="F9" s="3">
        <v>14835</v>
      </c>
      <c r="G9" s="3">
        <v>12758.099999999999</v>
      </c>
      <c r="H9" s="3">
        <v>296.70000000000005</v>
      </c>
      <c r="I9" s="3">
        <v>1780.2</v>
      </c>
      <c r="J9" s="5">
        <f t="shared" si="1"/>
        <v>55847</v>
      </c>
      <c r="K9" s="5">
        <f t="shared" si="2"/>
        <v>42286.74</v>
      </c>
      <c r="L9" s="5">
        <f t="shared" si="3"/>
        <v>2347.3000000000002</v>
      </c>
      <c r="M9" s="5">
        <f t="shared" si="4"/>
        <v>11212.960000000001</v>
      </c>
      <c r="N9" s="3">
        <v>41717</v>
      </c>
      <c r="O9" s="5">
        <f t="shared" si="5"/>
        <v>26927</v>
      </c>
      <c r="P9" s="3">
        <v>2235</v>
      </c>
      <c r="Q9" s="3">
        <v>12555</v>
      </c>
    </row>
    <row r="10" spans="1:17">
      <c r="A10">
        <v>2000</v>
      </c>
      <c r="B10" s="3">
        <v>41795</v>
      </c>
      <c r="C10" s="3">
        <v>29674.45</v>
      </c>
      <c r="D10" s="3">
        <v>2089.75</v>
      </c>
      <c r="E10" s="3">
        <v>10030.799999999999</v>
      </c>
      <c r="F10" s="3">
        <v>14790</v>
      </c>
      <c r="G10" s="3">
        <v>12423.599999999999</v>
      </c>
      <c r="H10" s="3">
        <v>443.70000000000005</v>
      </c>
      <c r="I10" s="3">
        <v>1922.7</v>
      </c>
      <c r="J10" s="5">
        <f t="shared" si="1"/>
        <v>56585</v>
      </c>
      <c r="K10" s="5">
        <f t="shared" si="2"/>
        <v>42098.05</v>
      </c>
      <c r="L10" s="5">
        <f t="shared" si="3"/>
        <v>2533.4499999999998</v>
      </c>
      <c r="M10" s="5">
        <f t="shared" si="4"/>
        <v>11953.5</v>
      </c>
      <c r="N10" s="3">
        <v>41945</v>
      </c>
      <c r="O10" s="5">
        <f t="shared" si="5"/>
        <v>26199</v>
      </c>
      <c r="P10" s="3">
        <v>2422</v>
      </c>
      <c r="Q10" s="3">
        <v>13324</v>
      </c>
    </row>
    <row r="11" spans="1:17">
      <c r="A11">
        <v>2001</v>
      </c>
      <c r="B11" s="3">
        <v>41901</v>
      </c>
      <c r="C11" s="3">
        <v>29749.71</v>
      </c>
      <c r="D11" s="3">
        <v>2095.0500000000011</v>
      </c>
      <c r="E11" s="3">
        <v>10056.24</v>
      </c>
      <c r="F11" s="3">
        <v>14919</v>
      </c>
      <c r="G11" s="3">
        <v>12681.150000000001</v>
      </c>
      <c r="H11" s="3">
        <v>298.37999999999988</v>
      </c>
      <c r="I11" s="3">
        <v>1939.47</v>
      </c>
      <c r="J11" s="5">
        <f t="shared" si="1"/>
        <v>56820</v>
      </c>
      <c r="K11" s="5">
        <f t="shared" si="2"/>
        <v>42430.86</v>
      </c>
      <c r="L11" s="5">
        <f t="shared" si="3"/>
        <v>2393.4300000000012</v>
      </c>
      <c r="M11" s="5">
        <f t="shared" si="4"/>
        <v>11995.71</v>
      </c>
      <c r="N11" s="3">
        <v>42196</v>
      </c>
      <c r="O11" s="5">
        <f t="shared" si="5"/>
        <v>26465</v>
      </c>
      <c r="P11" s="3">
        <v>2441</v>
      </c>
      <c r="Q11" s="3">
        <v>13290</v>
      </c>
    </row>
    <row r="12" spans="1:17">
      <c r="A12">
        <v>2002</v>
      </c>
      <c r="B12" s="3">
        <v>42377</v>
      </c>
      <c r="C12" s="3">
        <v>30087.67</v>
      </c>
      <c r="D12" s="3">
        <v>1695.08</v>
      </c>
      <c r="E12" s="3">
        <v>10594.25</v>
      </c>
      <c r="F12" s="3">
        <v>14999</v>
      </c>
      <c r="G12" s="3">
        <v>12749.150000000001</v>
      </c>
      <c r="H12" s="3">
        <v>449.9699999999998</v>
      </c>
      <c r="I12" s="3">
        <v>1799.88</v>
      </c>
      <c r="J12" s="5">
        <f t="shared" si="1"/>
        <v>57376</v>
      </c>
      <c r="K12" s="5">
        <f t="shared" si="2"/>
        <v>42836.82</v>
      </c>
      <c r="L12" s="5">
        <f t="shared" si="3"/>
        <v>2145.0499999999997</v>
      </c>
      <c r="M12" s="5">
        <f t="shared" si="4"/>
        <v>12394.130000000001</v>
      </c>
      <c r="N12" s="3">
        <v>43005</v>
      </c>
      <c r="O12" s="5">
        <f t="shared" si="5"/>
        <v>27212</v>
      </c>
      <c r="P12" s="3">
        <v>2321</v>
      </c>
      <c r="Q12" s="3">
        <v>13472</v>
      </c>
    </row>
    <row r="13" spans="1:17">
      <c r="A13">
        <v>2003</v>
      </c>
      <c r="B13" s="3">
        <v>42586</v>
      </c>
      <c r="C13" s="3">
        <v>30661.919999999998</v>
      </c>
      <c r="D13" s="3">
        <v>1703.4400000000005</v>
      </c>
      <c r="E13" s="3">
        <v>10220.64</v>
      </c>
      <c r="F13" s="3">
        <v>15211</v>
      </c>
      <c r="G13" s="3">
        <v>13081.460000000001</v>
      </c>
      <c r="H13" s="3">
        <v>304.22000000000003</v>
      </c>
      <c r="I13" s="3">
        <v>1825.32</v>
      </c>
      <c r="J13" s="5">
        <f t="shared" si="1"/>
        <v>57797</v>
      </c>
      <c r="K13" s="5">
        <f t="shared" si="2"/>
        <v>43743.38</v>
      </c>
      <c r="L13" s="5">
        <f t="shared" si="3"/>
        <v>2007.6600000000005</v>
      </c>
      <c r="M13" s="5">
        <f t="shared" si="4"/>
        <v>12045.96</v>
      </c>
      <c r="N13" s="3">
        <v>42884</v>
      </c>
      <c r="O13" s="5">
        <f t="shared" si="5"/>
        <v>27461</v>
      </c>
      <c r="P13" s="3">
        <v>2327</v>
      </c>
      <c r="Q13" s="3">
        <v>13096</v>
      </c>
    </row>
    <row r="14" spans="1:17">
      <c r="A14">
        <v>2004</v>
      </c>
      <c r="B14" s="3">
        <v>42250</v>
      </c>
      <c r="C14" s="3">
        <v>30420</v>
      </c>
      <c r="D14" s="3">
        <v>1690</v>
      </c>
      <c r="E14" s="3">
        <v>10140</v>
      </c>
      <c r="F14" s="3">
        <v>15384</v>
      </c>
      <c r="G14" s="3">
        <v>13076.4</v>
      </c>
      <c r="H14" s="3">
        <v>461.52</v>
      </c>
      <c r="I14" s="3">
        <v>1846.08</v>
      </c>
      <c r="J14" s="5">
        <f t="shared" si="1"/>
        <v>57634</v>
      </c>
      <c r="K14" s="5">
        <f t="shared" si="2"/>
        <v>43496.4</v>
      </c>
      <c r="L14" s="5">
        <f t="shared" si="3"/>
        <v>2151.52</v>
      </c>
      <c r="M14" s="5">
        <f t="shared" si="4"/>
        <v>11986.08</v>
      </c>
      <c r="N14" s="3">
        <v>42836</v>
      </c>
      <c r="O14" s="5">
        <f t="shared" si="5"/>
        <v>27525</v>
      </c>
      <c r="P14" s="3">
        <v>2212</v>
      </c>
      <c r="Q14" s="3">
        <v>13099</v>
      </c>
    </row>
    <row r="15" spans="1:17">
      <c r="A15">
        <v>2005</v>
      </c>
      <c r="B15" s="3">
        <v>43282</v>
      </c>
      <c r="C15" s="3">
        <v>31163.040000000001</v>
      </c>
      <c r="D15" s="3">
        <v>1731.2799999999988</v>
      </c>
      <c r="E15" s="3">
        <v>10387.68</v>
      </c>
      <c r="F15" s="3">
        <v>15059</v>
      </c>
      <c r="G15" s="3">
        <v>12649.56</v>
      </c>
      <c r="H15" s="3">
        <v>451.77</v>
      </c>
      <c r="I15" s="3">
        <v>1957.67</v>
      </c>
      <c r="J15" s="5">
        <f t="shared" si="1"/>
        <v>58341</v>
      </c>
      <c r="K15" s="5">
        <f t="shared" si="2"/>
        <v>43812.6</v>
      </c>
      <c r="L15" s="5">
        <f t="shared" si="3"/>
        <v>2183.0499999999988</v>
      </c>
      <c r="M15" s="5">
        <f t="shared" si="4"/>
        <v>12345.35</v>
      </c>
      <c r="N15" s="3">
        <v>43510</v>
      </c>
      <c r="O15" s="5">
        <f t="shared" si="5"/>
        <v>27524</v>
      </c>
      <c r="P15" s="3">
        <v>2404</v>
      </c>
      <c r="Q15" s="3">
        <v>13582</v>
      </c>
    </row>
    <row r="16" spans="1:17">
      <c r="A16">
        <v>2006</v>
      </c>
      <c r="B16" s="3">
        <v>42223</v>
      </c>
      <c r="C16" s="3">
        <v>29978.329999999998</v>
      </c>
      <c r="D16" s="3">
        <v>2111.1499999999996</v>
      </c>
      <c r="E16" s="3">
        <v>10133.52</v>
      </c>
      <c r="F16" s="3">
        <v>14753</v>
      </c>
      <c r="G16" s="3">
        <v>12097.46</v>
      </c>
      <c r="H16" s="3">
        <v>442.59000000000015</v>
      </c>
      <c r="I16" s="3">
        <v>2212.9499999999998</v>
      </c>
      <c r="J16" s="5">
        <f t="shared" si="1"/>
        <v>56976</v>
      </c>
      <c r="K16" s="5">
        <f t="shared" si="2"/>
        <v>42075.789999999994</v>
      </c>
      <c r="L16" s="5">
        <f t="shared" si="3"/>
        <v>2553.7399999999998</v>
      </c>
      <c r="M16" s="5">
        <f t="shared" si="4"/>
        <v>12346.470000000001</v>
      </c>
      <c r="N16" s="3">
        <v>42708</v>
      </c>
      <c r="O16" s="5">
        <f t="shared" si="5"/>
        <v>26738</v>
      </c>
      <c r="P16" s="3">
        <v>2479</v>
      </c>
      <c r="Q16" s="3">
        <v>13491</v>
      </c>
    </row>
    <row r="17" spans="1:17">
      <c r="A17">
        <v>2007</v>
      </c>
      <c r="B17" s="3">
        <v>41053</v>
      </c>
      <c r="C17" s="3">
        <v>29147.629999999997</v>
      </c>
      <c r="D17" s="3">
        <v>2052.6500000000015</v>
      </c>
      <c r="E17" s="3">
        <v>9852.7199999999993</v>
      </c>
      <c r="F17" s="3">
        <v>14184</v>
      </c>
      <c r="G17" s="3">
        <v>11914.56</v>
      </c>
      <c r="H17" s="3">
        <v>425.52</v>
      </c>
      <c r="I17" s="3">
        <v>1843.92</v>
      </c>
      <c r="J17" s="5">
        <f t="shared" si="1"/>
        <v>55237</v>
      </c>
      <c r="K17" s="5">
        <f t="shared" si="2"/>
        <v>41062.189999999995</v>
      </c>
      <c r="L17" s="5">
        <f t="shared" si="3"/>
        <v>2478.1700000000014</v>
      </c>
      <c r="M17" s="5">
        <f t="shared" si="4"/>
        <v>11696.64</v>
      </c>
      <c r="N17" s="3">
        <v>41259</v>
      </c>
      <c r="O17" s="5">
        <f t="shared" si="5"/>
        <v>25724</v>
      </c>
      <c r="P17" s="3">
        <v>2494</v>
      </c>
      <c r="Q17" s="3">
        <v>13041</v>
      </c>
    </row>
    <row r="18" spans="1:17">
      <c r="A18">
        <v>2008</v>
      </c>
      <c r="B18" s="3">
        <v>37061</v>
      </c>
      <c r="C18" s="3">
        <v>26313.309999999998</v>
      </c>
      <c r="D18" s="3">
        <v>1482.4400000000005</v>
      </c>
      <c r="E18" s="3">
        <v>9265.25</v>
      </c>
      <c r="F18" s="3">
        <v>12627</v>
      </c>
      <c r="G18" s="3">
        <v>10606.68</v>
      </c>
      <c r="H18" s="3">
        <v>378.80999999999995</v>
      </c>
      <c r="I18" s="3">
        <v>1641.51</v>
      </c>
      <c r="J18" s="5">
        <f t="shared" si="1"/>
        <v>49688</v>
      </c>
      <c r="K18" s="5">
        <f t="shared" si="2"/>
        <v>36919.99</v>
      </c>
      <c r="L18" s="5">
        <f t="shared" si="3"/>
        <v>1861.2500000000005</v>
      </c>
      <c r="M18" s="5">
        <f t="shared" si="4"/>
        <v>10906.76</v>
      </c>
      <c r="N18" s="3">
        <v>37423</v>
      </c>
      <c r="O18" s="5">
        <f t="shared" si="5"/>
        <v>23597</v>
      </c>
      <c r="P18" s="3">
        <v>2115</v>
      </c>
      <c r="Q18" s="3">
        <v>11711</v>
      </c>
    </row>
    <row r="19" spans="1:17">
      <c r="A19">
        <v>2009</v>
      </c>
      <c r="B19" s="3">
        <v>32882</v>
      </c>
      <c r="C19" s="3">
        <v>23017.4</v>
      </c>
      <c r="D19" s="3">
        <v>1644.1000000000004</v>
      </c>
      <c r="E19" s="3">
        <v>8220.5</v>
      </c>
      <c r="F19" s="3">
        <v>11864</v>
      </c>
      <c r="G19" s="3">
        <v>9965.76</v>
      </c>
      <c r="H19" s="3">
        <v>355.92000000000007</v>
      </c>
      <c r="I19" s="3">
        <v>1542.32</v>
      </c>
      <c r="J19" s="5">
        <f t="shared" si="1"/>
        <v>44746</v>
      </c>
      <c r="K19" s="5">
        <f t="shared" si="2"/>
        <v>32983.160000000003</v>
      </c>
      <c r="L19" s="5">
        <f t="shared" si="3"/>
        <v>2000.0200000000004</v>
      </c>
      <c r="M19" s="5">
        <f t="shared" si="4"/>
        <v>9762.82</v>
      </c>
      <c r="N19" s="3">
        <v>33883</v>
      </c>
      <c r="O19" s="5">
        <f t="shared" si="5"/>
        <v>21152</v>
      </c>
      <c r="P19" s="3">
        <v>1972</v>
      </c>
      <c r="Q19" s="3">
        <v>10759</v>
      </c>
    </row>
    <row r="20" spans="1:17">
      <c r="A20">
        <v>2010</v>
      </c>
      <c r="B20" s="3">
        <v>32079</v>
      </c>
      <c r="C20" s="3">
        <v>23096.880000000001</v>
      </c>
      <c r="D20" s="3">
        <v>1283.1600000000008</v>
      </c>
      <c r="E20" s="3">
        <v>7698.96</v>
      </c>
      <c r="F20" s="3">
        <v>11859</v>
      </c>
      <c r="G20" s="3">
        <v>9842.9699999999993</v>
      </c>
      <c r="H20" s="3">
        <v>237.18000000000006</v>
      </c>
      <c r="I20" s="3">
        <v>1778.85</v>
      </c>
      <c r="J20" s="5">
        <f t="shared" si="1"/>
        <v>43938</v>
      </c>
      <c r="K20" s="5">
        <f t="shared" si="2"/>
        <v>32939.85</v>
      </c>
      <c r="L20" s="5">
        <f t="shared" si="3"/>
        <v>1520.3400000000008</v>
      </c>
      <c r="M20" s="5">
        <f t="shared" si="4"/>
        <v>9477.81</v>
      </c>
      <c r="N20" s="3">
        <v>32999</v>
      </c>
      <c r="O20" s="5">
        <f t="shared" si="5"/>
        <v>21092</v>
      </c>
      <c r="P20" s="3">
        <v>1771</v>
      </c>
      <c r="Q20" s="3">
        <v>10136</v>
      </c>
    </row>
    <row r="21" spans="1:17">
      <c r="A21">
        <v>2011</v>
      </c>
      <c r="B21" s="3">
        <v>31918</v>
      </c>
      <c r="C21" s="3">
        <v>22980.959999999999</v>
      </c>
      <c r="D21" s="3">
        <v>1276.7200000000012</v>
      </c>
      <c r="E21" s="3">
        <v>7660.32</v>
      </c>
      <c r="F21" s="3">
        <v>11265</v>
      </c>
      <c r="G21" s="3">
        <v>9462.6</v>
      </c>
      <c r="H21" s="3">
        <v>225.30000000000018</v>
      </c>
      <c r="I21" s="3">
        <v>1577.1</v>
      </c>
      <c r="J21" s="5">
        <f t="shared" si="1"/>
        <v>43183</v>
      </c>
      <c r="K21" s="5">
        <f t="shared" si="2"/>
        <v>32443.559999999998</v>
      </c>
      <c r="L21" s="5">
        <f t="shared" si="3"/>
        <v>1502.0200000000013</v>
      </c>
      <c r="M21" s="5">
        <f t="shared" si="4"/>
        <v>9237.42</v>
      </c>
      <c r="N21" s="3">
        <v>32479</v>
      </c>
      <c r="O21" s="5">
        <f t="shared" si="5"/>
        <v>20952</v>
      </c>
      <c r="P21" s="3">
        <v>1662</v>
      </c>
      <c r="Q21" s="3">
        <v>9865</v>
      </c>
    </row>
    <row r="22" spans="1:17">
      <c r="A22">
        <v>2012</v>
      </c>
      <c r="B22" s="3">
        <v>33124</v>
      </c>
      <c r="C22" s="3">
        <v>23849.279999999999</v>
      </c>
      <c r="D22" s="3">
        <v>1324.9599999999991</v>
      </c>
      <c r="E22" s="3">
        <v>7949.76</v>
      </c>
      <c r="F22" s="3">
        <v>11509</v>
      </c>
      <c r="G22" s="3">
        <v>9667.56</v>
      </c>
      <c r="H22" s="3">
        <v>230.18000000000006</v>
      </c>
      <c r="I22" s="3">
        <v>1611.26</v>
      </c>
      <c r="J22" s="5">
        <f t="shared" si="1"/>
        <v>44633</v>
      </c>
      <c r="K22" s="5">
        <f t="shared" si="2"/>
        <v>33516.839999999997</v>
      </c>
      <c r="L22" s="5">
        <f t="shared" si="3"/>
        <v>1555.1399999999992</v>
      </c>
      <c r="M22" s="5">
        <f t="shared" si="4"/>
        <v>9561.02</v>
      </c>
      <c r="N22" s="3">
        <v>33561</v>
      </c>
      <c r="O22" s="5">
        <f t="shared" si="5"/>
        <v>21520</v>
      </c>
      <c r="P22" s="3">
        <v>1719</v>
      </c>
      <c r="Q22" s="3">
        <v>10322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Sheet5</vt:lpstr>
      <vt:lpstr>Data - Summary</vt:lpstr>
      <vt:lpstr>Restraints</vt:lpstr>
      <vt:lpstr>Alcohol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</dc:creator>
  <cp:lastModifiedBy>Kedar</cp:lastModifiedBy>
  <dcterms:created xsi:type="dcterms:W3CDTF">2015-04-14T01:56:17Z</dcterms:created>
  <dcterms:modified xsi:type="dcterms:W3CDTF">2015-04-18T19:43:12Z</dcterms:modified>
</cp:coreProperties>
</file>